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446346262425.sharepoint.com/teams/EnterpriseArchitectureTechnology-ITCollaborationSupport/Shared Documents/Architecture Practice Mgmt Team/Action Log Reporting/"/>
    </mc:Choice>
  </mc:AlternateContent>
  <xr:revisionPtr revIDLastSave="91" documentId="13_ncr:1_{E8E79720-136C-4850-9D41-6F942F08CE45}" xr6:coauthVersionLast="47" xr6:coauthVersionMax="47" xr10:uidLastSave="{D6B65C16-B81D-4F3B-8AAB-AF2F9FFBC158}"/>
  <bookViews>
    <workbookView xWindow="-28920" yWindow="1695" windowWidth="29040" windowHeight="15840" xr2:uid="{EEB519C2-64BC-4F45-AF2D-BC8615D8E2DF}"/>
  </bookViews>
  <sheets>
    <sheet name="R) ALL Issues" sheetId="2" r:id="rId1"/>
    <sheet name="R) Epic_Initiative Linked " sheetId="3" r:id="rId2"/>
    <sheet name="Other Project Epics" sheetId="4"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45" i="2" l="1"/>
  <c r="O245" i="2" s="1"/>
  <c r="P246" i="2"/>
  <c r="O246" i="2" s="1"/>
  <c r="P247" i="2"/>
  <c r="O247" i="2" s="1"/>
  <c r="P248" i="2"/>
  <c r="O248" i="2" s="1"/>
  <c r="P244" i="2"/>
  <c r="O244" i="2" s="1"/>
  <c r="P231" i="2"/>
  <c r="O231" i="2" s="1"/>
  <c r="P232" i="2"/>
  <c r="O232" i="2" s="1"/>
  <c r="P233" i="2"/>
  <c r="O233" i="2" s="1"/>
  <c r="P234" i="2"/>
  <c r="O234" i="2" s="1"/>
  <c r="P235" i="2"/>
  <c r="O235" i="2" s="1"/>
  <c r="P236" i="2"/>
  <c r="O236" i="2" s="1"/>
  <c r="P237" i="2"/>
  <c r="O237" i="2" s="1"/>
  <c r="P238" i="2"/>
  <c r="O238" i="2" s="1"/>
  <c r="P239" i="2"/>
  <c r="O239" i="2" s="1"/>
  <c r="P240" i="2"/>
  <c r="O240" i="2" s="1"/>
  <c r="P241" i="2"/>
  <c r="O241" i="2" s="1"/>
  <c r="P242" i="2"/>
  <c r="O242" i="2" s="1"/>
  <c r="P243" i="2"/>
  <c r="O243" i="2" s="1"/>
  <c r="P2" i="2"/>
  <c r="O2" i="2" s="1"/>
  <c r="P3" i="2"/>
  <c r="O3" i="2" s="1"/>
  <c r="P4" i="2"/>
  <c r="O4" i="2" s="1"/>
  <c r="P5" i="2"/>
  <c r="O5" i="2" s="1"/>
  <c r="P6" i="2"/>
  <c r="O6" i="2" s="1"/>
  <c r="P7" i="2"/>
  <c r="O7" i="2" s="1"/>
  <c r="P8" i="2"/>
  <c r="O8" i="2" s="1"/>
  <c r="P9" i="2"/>
  <c r="O9" i="2" s="1"/>
  <c r="P10" i="2"/>
  <c r="O10" i="2" s="1"/>
  <c r="P11" i="2"/>
  <c r="O11" i="2" s="1"/>
  <c r="P12" i="2"/>
  <c r="O12" i="2" s="1"/>
  <c r="P13" i="2"/>
  <c r="O13" i="2" s="1"/>
  <c r="P14" i="2"/>
  <c r="O14" i="2" s="1"/>
  <c r="P15" i="2"/>
  <c r="O15" i="2" s="1"/>
  <c r="P16" i="2"/>
  <c r="O16" i="2" s="1"/>
  <c r="P17" i="2"/>
  <c r="O17" i="2" s="1"/>
  <c r="P18" i="2"/>
  <c r="O18" i="2" s="1"/>
  <c r="P19" i="2"/>
  <c r="O19" i="2" s="1"/>
  <c r="P20" i="2"/>
  <c r="O20" i="2" s="1"/>
  <c r="P21" i="2"/>
  <c r="O21" i="2" s="1"/>
  <c r="P22" i="2"/>
  <c r="O22" i="2" s="1"/>
  <c r="P23" i="2"/>
  <c r="O23" i="2" s="1"/>
  <c r="P24" i="2"/>
  <c r="O24" i="2" s="1"/>
  <c r="P25" i="2"/>
  <c r="O25" i="2" s="1"/>
  <c r="P26" i="2"/>
  <c r="O26" i="2" s="1"/>
  <c r="P27" i="2"/>
  <c r="O27" i="2" s="1"/>
  <c r="P28" i="2"/>
  <c r="O28" i="2" s="1"/>
  <c r="P29" i="2"/>
  <c r="O29" i="2" s="1"/>
  <c r="P30" i="2"/>
  <c r="O30" i="2" s="1"/>
  <c r="P31" i="2"/>
  <c r="O31" i="2" s="1"/>
  <c r="P32" i="2"/>
  <c r="O32" i="2" s="1"/>
  <c r="P33" i="2"/>
  <c r="O33" i="2" s="1"/>
  <c r="P34" i="2"/>
  <c r="O34" i="2" s="1"/>
  <c r="P35" i="2"/>
  <c r="O35" i="2" s="1"/>
  <c r="P36" i="2"/>
  <c r="O36" i="2" s="1"/>
  <c r="P37" i="2"/>
  <c r="O37" i="2" s="1"/>
  <c r="P38" i="2"/>
  <c r="O38" i="2" s="1"/>
  <c r="P39" i="2"/>
  <c r="O39" i="2" s="1"/>
  <c r="P40" i="2"/>
  <c r="O40" i="2" s="1"/>
  <c r="P41" i="2"/>
  <c r="O41" i="2" s="1"/>
  <c r="P42" i="2"/>
  <c r="O42" i="2" s="1"/>
  <c r="P43" i="2"/>
  <c r="O43" i="2" s="1"/>
  <c r="P44" i="2"/>
  <c r="O44" i="2" s="1"/>
  <c r="P45" i="2"/>
  <c r="O45" i="2" s="1"/>
  <c r="P46" i="2"/>
  <c r="O46" i="2" s="1"/>
  <c r="P47" i="2"/>
  <c r="O47" i="2" s="1"/>
  <c r="P48" i="2"/>
  <c r="O48" i="2" s="1"/>
  <c r="P49" i="2"/>
  <c r="O49" i="2" s="1"/>
  <c r="P50" i="2"/>
  <c r="O50" i="2" s="1"/>
  <c r="P51" i="2"/>
  <c r="O51" i="2" s="1"/>
  <c r="P52" i="2"/>
  <c r="O52" i="2" s="1"/>
  <c r="P53" i="2"/>
  <c r="O53" i="2" s="1"/>
  <c r="P54" i="2"/>
  <c r="O54" i="2" s="1"/>
  <c r="P55" i="2"/>
  <c r="O55" i="2" s="1"/>
  <c r="P56" i="2"/>
  <c r="O56" i="2" s="1"/>
  <c r="P57" i="2"/>
  <c r="O57" i="2" s="1"/>
  <c r="P58" i="2"/>
  <c r="O58" i="2" s="1"/>
  <c r="P59" i="2"/>
  <c r="O59" i="2" s="1"/>
  <c r="P60" i="2"/>
  <c r="O60" i="2" s="1"/>
  <c r="P61" i="2"/>
  <c r="O61" i="2" s="1"/>
  <c r="P62" i="2"/>
  <c r="O62" i="2" s="1"/>
  <c r="P63" i="2"/>
  <c r="O63" i="2" s="1"/>
  <c r="P64" i="2"/>
  <c r="O64" i="2" s="1"/>
  <c r="P65" i="2"/>
  <c r="O65" i="2" s="1"/>
  <c r="P66" i="2"/>
  <c r="O66" i="2" s="1"/>
  <c r="P67" i="2"/>
  <c r="O67" i="2" s="1"/>
  <c r="P68" i="2"/>
  <c r="O68" i="2" s="1"/>
  <c r="P69" i="2"/>
  <c r="O69" i="2" s="1"/>
  <c r="P70" i="2"/>
  <c r="O70" i="2" s="1"/>
  <c r="P71" i="2"/>
  <c r="O71" i="2" s="1"/>
  <c r="P72" i="2"/>
  <c r="O72" i="2" s="1"/>
  <c r="P73" i="2"/>
  <c r="O73" i="2" s="1"/>
  <c r="P74" i="2"/>
  <c r="O74" i="2" s="1"/>
  <c r="P75" i="2"/>
  <c r="O75" i="2" s="1"/>
  <c r="P76" i="2"/>
  <c r="O76" i="2" s="1"/>
  <c r="P77" i="2"/>
  <c r="O77" i="2" s="1"/>
  <c r="P78" i="2"/>
  <c r="O78" i="2" s="1"/>
  <c r="P79" i="2"/>
  <c r="O79" i="2" s="1"/>
  <c r="P80" i="2"/>
  <c r="O80" i="2" s="1"/>
  <c r="P81" i="2"/>
  <c r="O81" i="2" s="1"/>
  <c r="P82" i="2"/>
  <c r="O82" i="2" s="1"/>
  <c r="P83" i="2"/>
  <c r="O83" i="2" s="1"/>
  <c r="P84" i="2"/>
  <c r="O84" i="2" s="1"/>
  <c r="P85" i="2"/>
  <c r="O85" i="2" s="1"/>
  <c r="P86" i="2"/>
  <c r="O86" i="2" s="1"/>
  <c r="P87" i="2"/>
  <c r="O87" i="2" s="1"/>
  <c r="P88" i="2"/>
  <c r="O88" i="2" s="1"/>
  <c r="P89" i="2"/>
  <c r="O89" i="2" s="1"/>
  <c r="P90" i="2"/>
  <c r="O90" i="2" s="1"/>
  <c r="P91" i="2"/>
  <c r="O91" i="2" s="1"/>
  <c r="P92" i="2"/>
  <c r="O92" i="2" s="1"/>
  <c r="P93" i="2"/>
  <c r="O93" i="2" s="1"/>
  <c r="P94" i="2"/>
  <c r="O94" i="2" s="1"/>
  <c r="P95" i="2"/>
  <c r="O95" i="2" s="1"/>
  <c r="P96" i="2"/>
  <c r="O96" i="2" s="1"/>
  <c r="P97" i="2"/>
  <c r="O97" i="2" s="1"/>
  <c r="P98" i="2"/>
  <c r="O98" i="2" s="1"/>
  <c r="P99" i="2"/>
  <c r="O99" i="2" s="1"/>
  <c r="P100" i="2"/>
  <c r="O100" i="2" s="1"/>
  <c r="P101" i="2"/>
  <c r="O101" i="2" s="1"/>
  <c r="P102" i="2"/>
  <c r="O102" i="2" s="1"/>
  <c r="P103" i="2"/>
  <c r="O103" i="2" s="1"/>
  <c r="P104" i="2"/>
  <c r="O104" i="2" s="1"/>
  <c r="P105" i="2"/>
  <c r="O105" i="2" s="1"/>
  <c r="P106" i="2"/>
  <c r="O106" i="2" s="1"/>
  <c r="P107" i="2"/>
  <c r="O107" i="2" s="1"/>
  <c r="P108" i="2"/>
  <c r="O108" i="2" s="1"/>
  <c r="P109" i="2"/>
  <c r="O109" i="2" s="1"/>
  <c r="P110" i="2"/>
  <c r="O110" i="2" s="1"/>
  <c r="P111" i="2"/>
  <c r="O111" i="2" s="1"/>
  <c r="P112" i="2"/>
  <c r="O112" i="2" s="1"/>
  <c r="P113" i="2"/>
  <c r="O113" i="2" s="1"/>
  <c r="P114" i="2"/>
  <c r="O114" i="2" s="1"/>
  <c r="P115" i="2"/>
  <c r="O115" i="2" s="1"/>
  <c r="P116" i="2"/>
  <c r="O116" i="2" s="1"/>
  <c r="P117" i="2"/>
  <c r="O117" i="2" s="1"/>
  <c r="P118" i="2"/>
  <c r="O118" i="2" s="1"/>
  <c r="P119" i="2"/>
  <c r="O119" i="2" s="1"/>
  <c r="P120" i="2"/>
  <c r="O120" i="2" s="1"/>
  <c r="P121" i="2"/>
  <c r="O121" i="2" s="1"/>
  <c r="P122" i="2"/>
  <c r="O122" i="2" s="1"/>
  <c r="P123" i="2"/>
  <c r="O123" i="2" s="1"/>
  <c r="P124" i="2"/>
  <c r="O124" i="2" s="1"/>
  <c r="P125" i="2"/>
  <c r="O125" i="2" s="1"/>
  <c r="P126" i="2"/>
  <c r="O126" i="2" s="1"/>
  <c r="P127" i="2"/>
  <c r="O127" i="2" s="1"/>
  <c r="P128" i="2"/>
  <c r="O128" i="2" s="1"/>
  <c r="P129" i="2"/>
  <c r="O129" i="2" s="1"/>
  <c r="P130" i="2"/>
  <c r="O130" i="2" s="1"/>
  <c r="P131" i="2"/>
  <c r="O131" i="2" s="1"/>
  <c r="P132" i="2"/>
  <c r="O132" i="2" s="1"/>
  <c r="P133" i="2"/>
  <c r="O133" i="2" s="1"/>
  <c r="P134" i="2"/>
  <c r="O134" i="2" s="1"/>
  <c r="P135" i="2"/>
  <c r="O135" i="2" s="1"/>
  <c r="P136" i="2"/>
  <c r="O136" i="2" s="1"/>
  <c r="P137" i="2"/>
  <c r="O137" i="2" s="1"/>
  <c r="P138" i="2"/>
  <c r="O138" i="2" s="1"/>
  <c r="P139" i="2"/>
  <c r="O139" i="2" s="1"/>
  <c r="P140" i="2"/>
  <c r="O140" i="2" s="1"/>
  <c r="P141" i="2"/>
  <c r="O141" i="2" s="1"/>
  <c r="P142" i="2"/>
  <c r="O142" i="2" s="1"/>
  <c r="P143" i="2"/>
  <c r="O143" i="2" s="1"/>
  <c r="P144" i="2"/>
  <c r="O144" i="2" s="1"/>
  <c r="P145" i="2"/>
  <c r="O145" i="2" s="1"/>
  <c r="P146" i="2"/>
  <c r="O146" i="2" s="1"/>
  <c r="P147" i="2"/>
  <c r="O147" i="2" s="1"/>
  <c r="P148" i="2"/>
  <c r="O148" i="2" s="1"/>
  <c r="P149" i="2"/>
  <c r="O149" i="2" s="1"/>
  <c r="P150" i="2"/>
  <c r="O150" i="2" s="1"/>
  <c r="P151" i="2"/>
  <c r="O151" i="2" s="1"/>
  <c r="P152" i="2"/>
  <c r="O152" i="2" s="1"/>
  <c r="P153" i="2"/>
  <c r="O153" i="2" s="1"/>
  <c r="P154" i="2"/>
  <c r="O154" i="2" s="1"/>
  <c r="P155" i="2"/>
  <c r="O155" i="2" s="1"/>
  <c r="P156" i="2"/>
  <c r="O156" i="2" s="1"/>
  <c r="P157" i="2"/>
  <c r="O157" i="2" s="1"/>
  <c r="P158" i="2"/>
  <c r="O158" i="2" s="1"/>
  <c r="P159" i="2"/>
  <c r="O159" i="2" s="1"/>
  <c r="P160" i="2"/>
  <c r="O160" i="2" s="1"/>
  <c r="P161" i="2"/>
  <c r="O161" i="2" s="1"/>
  <c r="P162" i="2"/>
  <c r="O162" i="2" s="1"/>
  <c r="P163" i="2"/>
  <c r="O163" i="2" s="1"/>
  <c r="P164" i="2"/>
  <c r="O164" i="2" s="1"/>
  <c r="P165" i="2"/>
  <c r="O165" i="2" s="1"/>
  <c r="P166" i="2"/>
  <c r="O166" i="2" s="1"/>
  <c r="P167" i="2"/>
  <c r="O167" i="2" s="1"/>
  <c r="P168" i="2"/>
  <c r="O168" i="2" s="1"/>
  <c r="P169" i="2"/>
  <c r="O169" i="2" s="1"/>
  <c r="P170" i="2"/>
  <c r="O170" i="2" s="1"/>
  <c r="P171" i="2"/>
  <c r="O171" i="2" s="1"/>
  <c r="P172" i="2"/>
  <c r="O172" i="2" s="1"/>
  <c r="P173" i="2"/>
  <c r="O173" i="2" s="1"/>
  <c r="P174" i="2"/>
  <c r="O174" i="2" s="1"/>
  <c r="P175" i="2"/>
  <c r="O175" i="2" s="1"/>
  <c r="P176" i="2"/>
  <c r="O176" i="2" s="1"/>
  <c r="P177" i="2"/>
  <c r="O177" i="2" s="1"/>
  <c r="P178" i="2"/>
  <c r="O178" i="2" s="1"/>
  <c r="P179" i="2"/>
  <c r="O179" i="2" s="1"/>
  <c r="P180" i="2"/>
  <c r="O180" i="2" s="1"/>
  <c r="P181" i="2"/>
  <c r="O181" i="2" s="1"/>
  <c r="P182" i="2"/>
  <c r="O182" i="2" s="1"/>
  <c r="P183" i="2"/>
  <c r="O183" i="2" s="1"/>
  <c r="P184" i="2"/>
  <c r="O184" i="2" s="1"/>
  <c r="P185" i="2"/>
  <c r="O185" i="2" s="1"/>
  <c r="P186" i="2"/>
  <c r="O186" i="2" s="1"/>
  <c r="P187" i="2"/>
  <c r="O187" i="2" s="1"/>
  <c r="P188" i="2"/>
  <c r="O188" i="2" s="1"/>
  <c r="P189" i="2"/>
  <c r="O189" i="2" s="1"/>
  <c r="P190" i="2"/>
  <c r="O190" i="2" s="1"/>
  <c r="P191" i="2"/>
  <c r="O191" i="2" s="1"/>
  <c r="P192" i="2"/>
  <c r="O192" i="2" s="1"/>
  <c r="P193" i="2"/>
  <c r="O193" i="2" s="1"/>
  <c r="P194" i="2"/>
  <c r="O194" i="2" s="1"/>
  <c r="P195" i="2"/>
  <c r="O195" i="2" s="1"/>
  <c r="P196" i="2"/>
  <c r="O196" i="2" s="1"/>
  <c r="P197" i="2"/>
  <c r="O197" i="2" s="1"/>
  <c r="P198" i="2"/>
  <c r="O198" i="2" s="1"/>
  <c r="P199" i="2"/>
  <c r="O199" i="2" s="1"/>
  <c r="P200" i="2"/>
  <c r="O200" i="2" s="1"/>
  <c r="P201" i="2"/>
  <c r="O201" i="2" s="1"/>
  <c r="P202" i="2"/>
  <c r="O202" i="2" s="1"/>
  <c r="P203" i="2"/>
  <c r="O203" i="2" s="1"/>
  <c r="P204" i="2"/>
  <c r="O204" i="2" s="1"/>
  <c r="P205" i="2"/>
  <c r="O205" i="2" s="1"/>
  <c r="P206" i="2"/>
  <c r="O206" i="2" s="1"/>
  <c r="P207" i="2"/>
  <c r="O207" i="2" s="1"/>
  <c r="P208" i="2"/>
  <c r="O208" i="2" s="1"/>
  <c r="P209" i="2"/>
  <c r="O209" i="2" s="1"/>
  <c r="P210" i="2"/>
  <c r="O210" i="2" s="1"/>
  <c r="P211" i="2"/>
  <c r="O211" i="2" s="1"/>
  <c r="P212" i="2"/>
  <c r="O212" i="2" s="1"/>
  <c r="P213" i="2"/>
  <c r="O213" i="2" s="1"/>
  <c r="P214" i="2"/>
  <c r="O214" i="2" s="1"/>
  <c r="P215" i="2"/>
  <c r="O215" i="2" s="1"/>
  <c r="P216" i="2"/>
  <c r="O216" i="2" s="1"/>
  <c r="P217" i="2"/>
  <c r="O217" i="2" s="1"/>
  <c r="P218" i="2"/>
  <c r="O218" i="2" s="1"/>
  <c r="P219" i="2"/>
  <c r="O219" i="2" s="1"/>
  <c r="P220" i="2"/>
  <c r="O220" i="2" s="1"/>
  <c r="P221" i="2"/>
  <c r="O221" i="2" s="1"/>
  <c r="P222" i="2"/>
  <c r="O222" i="2" s="1"/>
  <c r="P223" i="2"/>
  <c r="O223" i="2" s="1"/>
  <c r="P224" i="2"/>
  <c r="O224" i="2" s="1"/>
  <c r="P225" i="2"/>
  <c r="O225" i="2" s="1"/>
  <c r="P226" i="2"/>
  <c r="O226" i="2" s="1"/>
  <c r="P227" i="2"/>
  <c r="O227" i="2" s="1"/>
  <c r="P228" i="2"/>
  <c r="O228" i="2" s="1"/>
  <c r="P229" i="2"/>
  <c r="O229" i="2" s="1"/>
  <c r="P230" i="2"/>
  <c r="O230" i="2" s="1"/>
</calcChain>
</file>

<file path=xl/sharedStrings.xml><?xml version="1.0" encoding="utf-8"?>
<sst xmlns="http://schemas.openxmlformats.org/spreadsheetml/2006/main" count="3314" uniqueCount="906">
  <si>
    <t>Key</t>
  </si>
  <si>
    <t>Issue Type</t>
  </si>
  <si>
    <t>Summary</t>
  </si>
  <si>
    <t>Description</t>
  </si>
  <si>
    <t>Status</t>
  </si>
  <si>
    <t xml:space="preserve">Approval Level </t>
  </si>
  <si>
    <t xml:space="preserve">Delivery Type </t>
  </si>
  <si>
    <t>Assignee</t>
  </si>
  <si>
    <t>Epic Link</t>
  </si>
  <si>
    <t>Primary Domain</t>
  </si>
  <si>
    <t>EA Architect</t>
  </si>
  <si>
    <t>Service Owner</t>
  </si>
  <si>
    <t>Diverstiture Impact</t>
  </si>
  <si>
    <t>Canada Life Impact</t>
  </si>
  <si>
    <t>Initiative</t>
  </si>
  <si>
    <t>EA Epic Link</t>
  </si>
  <si>
    <t>MOP-25</t>
  </si>
  <si>
    <t>Blueprint</t>
  </si>
  <si>
    <t>Blueprint - Middle Office Program - Level 1</t>
  </si>
  <si>
    <t>Level 1 (conceptual) blueprint which captures the overall design components that make up the entire Middle Office program, broken down into three distinct work streams: Trade Support, IBOR (Portfolio Accounting), and IBOR+ (Data Management)</t>
  </si>
  <si>
    <t>To Do</t>
  </si>
  <si>
    <t>ARB</t>
  </si>
  <si>
    <t>Project</t>
  </si>
  <si>
    <t>Wyant, Graeme</t>
  </si>
  <si>
    <t>Trade Capture</t>
  </si>
  <si>
    <t>No</t>
  </si>
  <si>
    <t>MOP-24</t>
  </si>
  <si>
    <t>Blueprint - Trade Support - Level 2</t>
  </si>
  <si>
    <t>Level 2 (as designed) blueprint which captures the core design components that make up the Trade Support workstream of the Middle Office program</t>
  </si>
  <si>
    <t>Duffy, Tim</t>
  </si>
  <si>
    <t>MOP-23</t>
  </si>
  <si>
    <t>Blueprint - Trade Support - Level 1</t>
  </si>
  <si>
    <t>Level 1 (conceptual) blueprint which captures the core design components that make up the Trade Support workstream of the Middle Office program</t>
  </si>
  <si>
    <t>MOP-22</t>
  </si>
  <si>
    <t>Blueprint - IBOR (Portfolio Accounting) - Level 2</t>
  </si>
  <si>
    <t>Level 2 (as designed) blueprint which captures the core design components that make up the Portfolio Accounting (IBOR) workstream of the Middle Office program</t>
  </si>
  <si>
    <t>Cash Management</t>
  </si>
  <si>
    <t>MOP-21</t>
  </si>
  <si>
    <t>Blueprint - IBOR (Portfolio Accounting) - Level 1</t>
  </si>
  <si>
    <t>Level 1 (conceptual) blueprint which captures the core design components that make up the Portfolio Accounting (IBOR) workstream of the Middle Office program</t>
  </si>
  <si>
    <t>MOP-20</t>
  </si>
  <si>
    <t>Blueprint - IBOR+ (Data Management) - Level 1</t>
  </si>
  <si>
    <t>Level 1 (conceptual) blueprint which captures the core design components that make up the Data Management (IBOR+) workstream of the Middle Office program</t>
  </si>
  <si>
    <t>Vasile, Eugen</t>
  </si>
  <si>
    <t>Data Management and Delivery</t>
  </si>
  <si>
    <t>EA-1241</t>
  </si>
  <si>
    <t>POV</t>
  </si>
  <si>
    <t>POV - Insights Engine</t>
  </si>
  <si>
    <t>In Progress</t>
  </si>
  <si>
    <t>Naidu, Kavendra</t>
  </si>
  <si>
    <t>Client Services Operations</t>
  </si>
  <si>
    <t>Business Application</t>
  </si>
  <si>
    <t>Fletcher, Sheldon</t>
  </si>
  <si>
    <t>Erer, Louisa</t>
  </si>
  <si>
    <t>EA-1238</t>
  </si>
  <si>
    <t>ADR</t>
  </si>
  <si>
    <t>IGM Chat Capability</t>
  </si>
  <si>
    <t>The National Service Centre (NSC) has deployed a chat capability provided by Glia to authenticated NSC Clients. IGM has upgrade the telephony platform and the underlying components offer Chat capability which can be leveraged. A decision is required on which Chat product can be used in IGM.</t>
  </si>
  <si>
    <t>Portfolio</t>
  </si>
  <si>
    <t>Unassigned</t>
  </si>
  <si>
    <t>EA-1237</t>
  </si>
  <si>
    <t>ADR - IMTM - Shared Terminal for IM Team</t>
  </si>
  <si>
    <t>[ADR - Share Terminal for Investment Management Team - End User - IGM Confluence|https://confluence.igm.tools/display/EUSG/ADR+-+Share+Terminal+for+Investment+Management+Team?moved=true]</t>
  </si>
  <si>
    <t>Lu, Michael</t>
  </si>
  <si>
    <t>End User Device Management</t>
  </si>
  <si>
    <t>End User</t>
  </si>
  <si>
    <t>Melvin, Robbie</t>
  </si>
  <si>
    <t>Armstrong, Ken</t>
  </si>
  <si>
    <t>Yes</t>
  </si>
  <si>
    <t>EA-1236</t>
  </si>
  <si>
    <t>ADR - IMTM Accessing Programing Pkgs from MMD</t>
  </si>
  <si>
    <t>  
|[Detailed Design - Accessing Programming Packages on MMD v1.0.docx (sharepoint.com)|https://jira.igm.tools/:w:/r/sites/ProjectWebApp/WDC%20Exit%20-%20Investment%20Management/_layouts/15/Doc.aspx?sourcedoc=%7B994B0E0A-5C0C-4627-A5B3-6090F1A625E4%7D&amp;file=Detailed%20Design%20-%20Accessing%20Programming%20Packages%20on%20MMD%20v1.0.docx&amp;action=default&amp;mobileredirect=true&amp;cid=add1d4f9-cd07-4173-9986-f1a15c7304cf]| 
 </t>
  </si>
  <si>
    <t>Investment Management</t>
  </si>
  <si>
    <t>Hulbert, David</t>
  </si>
  <si>
    <t>Dan-Dobre, Carmen</t>
  </si>
  <si>
    <t>EA-1235</t>
  </si>
  <si>
    <t>ADR - IMTM International FileShare Migration</t>
  </si>
  <si>
    <t>  
[Detailed Design+-+Investment+Management+-+Dublin FS Migration.doc.docx (sharepoint.com)|https://446346262425.sharepoint.com/:w:/r/sites/ProjectWebApp/WDC%20Exit%20-%20Investment%20Management/_layouts/15/Doc.aspx?sourcedoc=%7BB4145EEA-8AEB-4377-9C4C-13716684F4E6%7D&amp;file=Detailed%20Design%2B-%2BInvestment%2BManagement%2B-%2BDublin%20FS%20Migration.doc.docx&amp;action=default&amp;mobileredirect=true] 
[Detailed Design+-+Investment+Management+-+Hong Kong FS Migration.doc.docx (sharepoint.com)|https://446346262425.sharepoint.com/:w:/r/sites/ProjectWebApp/WDC%20Exit%20-%20Investment%20Management/_layouts/15/Doc.aspx?sourcedoc=%7B797AE3ED-9053-48AB-A2FB-E20E92FD5ECE%7D&amp;file=Detailed%20Design%2B-%2BInvestment%2BManagement%2B-%2BHong%20Kong%20FS%20Migration.doc.docx&amp;action=default&amp;mobileredirect=true] 
 </t>
  </si>
  <si>
    <t>Gamble, Matthew</t>
  </si>
  <si>
    <t>EA-1234</t>
  </si>
  <si>
    <t>ADR - IM End User Admin Access from MMD</t>
  </si>
  <si>
    <t>[Detailed Design+-+Investment+Management+-+Admin Applications Exception.doc.docx (sharepoint.com)|https://446346262425.sharepoint.com/:w:/r/sites/ProjectWebApp/WDC%20Exit%20-%20Investment%20Management/_layouts/15/Doc.aspx?sourcedoc=%7B71FB84A6-FEF8-40E9-8B11-8616E324651C%7D&amp;file=Detailed%20Design%2B-%2BInvestment%2BManagement%2B-%2BAdmin%20Applications%20Exception.doc.docx&amp;action=default&amp;mobileredirect=true] 
 </t>
  </si>
  <si>
    <t>EA-1233</t>
  </si>
  <si>
    <t>ADR - IM End User Docker Use</t>
  </si>
  <si>
    <t>  
[Detailed Design+-+Investment+Management+-+Docker Exception.doc.docx|https://446346262425.sharepoint.com/:w:/r/sites/ProjectWebApp/WDC%20Exit%20-%20Investment%20Management/Shared%20Documents/2%20Execution/Docker/Detailed%20Design+-+Investment+Management+-+Docker%20Exception.doc.docx?d=wd6aa92a4498b49778892991ddc047ecd&amp;csf=1&amp;web=1&amp;e=cxuS8t]</t>
  </si>
  <si>
    <t>EA-1232</t>
  </si>
  <si>
    <t>Proof of Concept</t>
  </si>
  <si>
    <t>POC - PC Bond Design</t>
  </si>
  <si>
    <t>Need to update PC Bond Design to for  IMTM/MMD 
[Detailed Design+-+Investment+Management+-+PC Bond PoC.doc (2).docx (sharepoint.com)|https://446346262425.sharepoint.com/:w:/r/sites/ProjectWebApp/WDC%20Exit%20-%20Investment%20Management/_layouts/15/Doc.aspx?sourcedoc=%7B55BA0E40-2D3F-419F-8D6A-90AFF1BB3E37%7D&amp;file=Detailed%20Design%2B-%2BInvestment%2BManagement%2B-%2BPC%20Bond%20PoC.doc%20(2).docx&amp;wdLOR=c2080A694-075D-4BD0-91A0-02CEFB326589&amp;action=default&amp;mobileredirect=true]</t>
  </si>
  <si>
    <t>EA-1227</t>
  </si>
  <si>
    <t>IGM Real Estate Buildings Security Access- Proof Of Concept</t>
  </si>
  <si>
    <t>Physical building security partner implementations are critical for controlling building access (card readers), fire/alarm monitoring, and system service and maintenance purpose. Current solutions require staff to be onsite to manage the system. 
Conduct a Proof-of-concept to ensure the solution and network configuration is a viable and reliable solution - POC results will feed into and support the next pilot stage. 
Test lab will be conducted within an isolated network segment, with no other production endpoints accessible.</t>
  </si>
  <si>
    <t>Design Authority</t>
  </si>
  <si>
    <t>Camara, Michael</t>
  </si>
  <si>
    <t>Network</t>
  </si>
  <si>
    <t>Molinski, Sandy</t>
  </si>
  <si>
    <t>EA-1226</t>
  </si>
  <si>
    <t>Mindtickle LMS</t>
  </si>
  <si>
    <t>* Mindtickle is a cloud-based SaaS platform used by organizations to ensure the readiness of their customer-facing teams using training modules, assessment, role-plays and 1:1 coaching. 
* Mindtickle LMS will be a replacement of Docebo 
* Integrations points: 
** SSO with Azure; User Sync via SAML assertion 
** Integration with SF (app within SF) 
** Call AI (conversational AI component offered by Mindtickle) integration with RC backend 
* IT Risk Assessment - Low (attached) 
* Security Questionnaire - completed (attached) 
* SOC 2 Type 2 report provided 
 </t>
  </si>
  <si>
    <t>Mehrotra, Vishal</t>
  </si>
  <si>
    <t>MI Distribution and Marketing</t>
  </si>
  <si>
    <t>Data/Integration</t>
  </si>
  <si>
    <t>Sala, Kelsey</t>
  </si>
  <si>
    <t>Fox, Michelle</t>
  </si>
  <si>
    <t>EA-1224</t>
  </si>
  <si>
    <t>POC Summary - Azure Discovery using API</t>
  </si>
  <si>
    <t>Mallick, Ajit</t>
  </si>
  <si>
    <t>IT Service Management Platform</t>
  </si>
  <si>
    <t>Operational Tooling</t>
  </si>
  <si>
    <t>Lacey, Scott</t>
  </si>
  <si>
    <t>EA-1221</t>
  </si>
  <si>
    <t>PoV - Prospect provisioning for Online Access</t>
  </si>
  <si>
    <t>{*}Context{*}: 
* Nesto provides a secure digital experience to IG Mortgage Applicants when integrated with an Identity Provider (IdP) 
* IG Clients will be able to login to Nesto as Service Provider (SP) via Salesforce Identities using SAML based integration 
*Problem Statement* 
* Not all IG Mortgage Applicants will be registered for Online Access and not all IG Mortgage Applicants will be an existing IG Client, in other words, borrowers/co-borrowers with no other IG investment account / insurance policy are Prospects until the Mortgage Application is successful 
*Recommendation* 
* The purpose of this PoV is to recommend placing the Prospect IdP capability within the existing IG Salesforce master org’s Salesforce Identities and Salesforce Experience Cloud instance and expanding registration to select Prospects 
*Rationale:* 
* Several roadmap objectives depend on broadening the Online Access client portal into a secure external-user portal 
* Nesto login experience consistent between prospect &amp; client 
* DataDog and Sentinel are already integrated with IG’s existing Salesforce Identities providing a single pane of glass for external user login to Nesto regardless of whether individual is prospect or client</t>
  </si>
  <si>
    <t>Approved</t>
  </si>
  <si>
    <t>IG Distribution and Marketing</t>
  </si>
  <si>
    <t>EA-1219</t>
  </si>
  <si>
    <t>PoV - DR eVPN access for MMD</t>
  </si>
  <si>
    <t>evPN access to CL ICSB location does not work form virtual MMD where tooling that technical users require is available  
options 
* installing tooling on physical MMD, 
* looking at ipv6 from a virtual machine (citrix better than vMMD)  - needs POC</t>
  </si>
  <si>
    <t>Portfolio Review</t>
  </si>
  <si>
    <t>Boisjoli, Myron</t>
  </si>
  <si>
    <t>EA-1217</t>
  </si>
  <si>
    <t>PoV - Jira and Confluence Data Center</t>
  </si>
  <si>
    <t>Planning for migration of IGM Jira and Confluence content  from current Server implementation to Cloud SaaS implementations encountered blockers. 
PoV describing alternative path for migration to Data Centre implementation in Azure. 
Goal to confirm 
* ability to achieve key functional requirements 
* ability to achieve key non functional requirements 
* ability to achieve 2023 timelines 
* document costs  
(note link is currently locked down, will open as soon as initial draft is filled out further)</t>
  </si>
  <si>
    <t>Core DevOps Services</t>
  </si>
  <si>
    <t>Stowe, Allen</t>
  </si>
  <si>
    <t>Mistry, Danny</t>
  </si>
  <si>
    <t>EA-1215</t>
  </si>
  <si>
    <t>ADR - BluAge connectivity for development</t>
  </si>
  <si>
    <t>h3. *Context* 
+Problem Statement:+ 
# Establish bi-directional connectivity between BluAge Insights (@AWS) to SAS mainframe @ IBM Markham Data Center for BluAge factory conversion/migration. 
# Establish SFTP pathway from IBM to AWS to securely transfer compressed mainframe database files after each test run simulation during the factory conversion/migration phase. 
+Context and Background Summary:+ 
SAS mainframe is one of the key systems that is part of the CGI Modernization. CGI has engaged AWS BluAge team who specialize in factory migration/conversion of legacy mainframe application to a modern distributed java application running in any supported environments (GCP/Azure/AWS and on-premise). 
During the elaboration phase of Blu Age Insights discovery (part of Release 1), AWS Blu Age VPC needs ingress access to 'CGI' instances of mainframe in IBM Markham data center.  The CGI instances are cloned of the existing SIT environments of SAS.  This connectivity will allow testers to create test cases and to execute test cases against the CGI instances in comparison to the factory converted SAS360.  
In addition, snapshots of the database files before and after each test simulation will be compressed and upload to BluAge S3 bucket for analysis and calibration of the factory migration/conversion.  
+Key Options Considered(where applicable):+ 
* This connectivity is used during development phase. 
* The data set is non-PII 
* No impacts to active production traffic due to interactive sessions and batch data feed processing around SAS mainframe production. 
h3. *Components Impacted* 
* IBM routing to internet or TR2 internet.  Only Markham center is needed as development need.  
* TR2 configuration in F5 to act as customer VPN gateway, and routing to AWS site-to-site VPN setup in Transit Gateway 
* MDM users routing to AWS through TR2 to AWS site-to-site VPN 
h3.  *Recommendation* 
# Establish site-to-site VPN between AWS BluAge VPC and TR2 with routing to SAS mainframe at IBM Markham data center. 
# Establish a SFTP path from IBM Markham data center to AWS BluAge S3 bucket over TR2 Internet gateway. 
Immediate Next Steps: 
# Network Engineering team is engaged, design work is under-going with IBM and CDW for implementation. 
# Waiting for CGI to confirm the IP range for the AWS BluAge VPC.</t>
  </si>
  <si>
    <t>Ng, Eric</t>
  </si>
  <si>
    <t>Kelly, Daniela</t>
  </si>
  <si>
    <t>EA-1214</t>
  </si>
  <si>
    <t>Blueprint Level 2 for Physical Building Security</t>
  </si>
  <si>
    <t>Physical building security partner implementations are critical for controlling building access (card readers), fire/alarm monitoring, and system service and maintenance purpose. Current solutions require staff to be onsite to manage the system. 
Currently, IGM has 16 disparate security vendors/solutions covering corporate campuses in Winnipeg, Toronto and Montreal, Boston, as well as MI and IGWM distribution offices across Canada. 
IGM shift to hybrid model and RO Operations leaner team, requires ability to centrally manage systems remotely. ++ The approximate Number of campus site and regional offices are &gt;100 locations</t>
  </si>
  <si>
    <t>Marwaha, Hardesh</t>
  </si>
  <si>
    <t>Facilities and Real Estate</t>
  </si>
  <si>
    <t>McKinney, Andrew</t>
  </si>
  <si>
    <t>EA-1213</t>
  </si>
  <si>
    <t>Secure transfer of data to Vendor</t>
  </si>
  <si>
    <t>For Frontier, Trust Accounting application, migration to IGM Azure, there is a requirement to convert the on prem database Oracle to MS SQL.  Vendor, FiServ, will provide the service of building a database conversion script.  Vendor requires a copy of the Oracle database to be transferred to their environment.  Vendor will then build the db conversion script with Visual Studio.  Once completed, vendor will provide the script to be installed in Visual Studio on prem to convert.  Vendor indicated that building the script in IGM environment is not an option and must be built in vendor environment.  This ADR is to recommend an option to securely transfer the database copy to vendor environment.</t>
  </si>
  <si>
    <t>Ali, Mustafa</t>
  </si>
  <si>
    <t>Corporate Finance</t>
  </si>
  <si>
    <t>EA-1212</t>
  </si>
  <si>
    <t>Virtual MMD Strategic Blueprint with outlier implementations identified</t>
  </si>
  <si>
    <t>*Problem Statement* 
IGM needs to be able to offer options for staff augmentation, employees, and third party vendors do be able to access IGM managed end user devices with appropriate software installed and network access configured in an efficient manner. 
Several groupings of users profiles have been identified.  Within each there may be additional levels of customization required.   As a principle, the architectural goal is to provide no more access then required yet achieve as efficient a method of delivery as possible.  An additional goal of cost effectiveness and ease of offboarding with efficient equipment retrieval exists.  
To this end, large scale  Virtual Workstation deployment  based on the Windows365 offering has been implemented. 
h5. Network 
* Base access controls at SubNet level implemented via Azure NSG  
* Associated vNets are peered to Hub vNet where further network and security controls are in place for routing to the rest of IGM's network 
** The main vNet for vMMD has restricted access to all but basic pattern requirements 
** The ops vNet for vMMD has wide access configured 
** The QM and TechOps subnets in the ops vNet has RDP and SSH access to WDC configured  
** Specific AD groups to be configured with specific managed access based on implementation requirements in addition to basic access from the main vMMD vNet for Managed Access Pattern 
*** Palo Alto Firewalls are able to query User ID to IP Address mappings to determine access rules when Cloud PC's have task installed which logs into Azure VM for tracking this information every 40 mins 
h5. Identity &amp; Access 
* Access to Cloud PC's is via Azure AD SSO either through the remote desktop App installed on a IGM corporate imaged physical MMD, or through the windows 365 website 
* MFA is required 
h5. Managing and Maintaining Provisioned Cloud PCs 
* Standard patterns for provisioned Cloud PC are that they will be enrolled in inTune and included in the MMD program so that updates to the image and management of software is via Microsoft Endpoint Manager 
** in Standard Patterns the base image is the standard Windows Cloud PC (currently Windows 10 with M365) 
** in Standard Patterns software is pushed to company portal on vMMD based on user's membership in software AD groups.  
** software for very small user groups may be installed manually by End User Engineering or End User Operations  
* Implementations that follow a custom pattern, an image is custom developed in Dev Test Lab by a SME for the project use case.   The ongoing support for the image is managed by end user engineering packaging and pushing manual software updates to the Cloud PCs. Custom use cases are set up with a set time frame and SLAs.  
!image-2023-03-29-12-15-31-937.png|width=732,height=373! 
List of tactical implementations that deviate from the strategic patterns 
* 
** EA-1199 vMMD technical Debt to support timely MMD migration - IGM Jira 
** discussion of plan for bringing these into alignment with approved patterns (some may be by attrition) 
 </t>
  </si>
  <si>
    <t>Design Authority Review</t>
  </si>
  <si>
    <t>Cloud</t>
  </si>
  <si>
    <t>Ling, Helen</t>
  </si>
  <si>
    <t>EA-1211</t>
  </si>
  <si>
    <t>PoV - Strategic Corporate Software Mgmt</t>
  </si>
  <si>
    <t>Proposed update to Managing Software on Corporate End User Devices to better support License tracking and simplify deployment for non licensed software. 
AD membership structure for Software Mgmt 
Clarification of components involved to track software  
* End User Devices 
** MMD (physical and virtual) 
** other devices in Cloud (Citrix VDI, Azure VM, VM in GCP etc) 
** Other IGM physical end user device (IM physical devices for example) 
* Software Onboarding 
** Employee Central / Success Factors &amp; HR systems (future?) 
** IAM 
** Azure AD 
** Service Now 
** InTune, Microsoft Endpoint Manager 
** packaging 
** vendor licensing validation 
* People 
** hiring managers 
** software owners 
** software licensing management 
** end user engineering 
** end user operations 
** security engineering 
** end user 
 </t>
  </si>
  <si>
    <t>EA-1209</t>
  </si>
  <si>
    <t>ADR - Nginx Proxy Server</t>
  </si>
  <si>
    <t>.[ADR - Nginx as proxy server in Azure to service for web/app server in WDC - Lu, Michael - IGM Confluence|https://confluence.igm.tools/pages/viewpage.action?pageId=270308738]</t>
  </si>
  <si>
    <t>Mothersell, Steve</t>
  </si>
  <si>
    <t>EA-1208</t>
  </si>
  <si>
    <t>Ricciardelli, Frank</t>
  </si>
  <si>
    <t>EA-1206</t>
  </si>
  <si>
    <t>PoC - Google DLP for Atlassian Migration</t>
  </si>
  <si>
    <t>The Atlassian migration project involves migrating content currently stored on servers in the WDC into Cloud based SaaS service.  The team needs to scan content for projects prior to migration to determine if any PI data is being captured as part of their current workflow so that 
* that data can be masked or excluded from the migration 
* the teams workflow can be updated to follow a better practice 
* the migration project can schedule migration appropriately to accommodate these tasks. 
The structured data related to this project does not call for any PI data.  However, based on discussions with teams we do expect unstructured (description and content fields, and attachments) for some projects to include some PI data.   
Use case 1 
Scanning Jira and Confluence content currently in IGM's server instances of Jira and Confluence to identify any cases of PI.  
* prove out ability to integrate between Google DLP API and IGM's Jira and confluence server instance - identify method  
* prove out Google's DLP service's ability to identify PI and create list of locations where it occurs 
use existing ruleset from Google - see appendix 
Seed the test set with some data that will trigger identification. 
Use case 2 - real time scanning and response is paused. 
h2. Success Criteria 
Start with use case 1.  only proceed to further use cases if the POC is successful for the first use case. 
Use case 1 - point in time  
* Ability to detect seeded PI 
* Ability to tune out false positives 
* de-identification of seeded PI in report  
* ability to isolate data being scanned in a temporary repository with RBAC 
* appropriate post scan data management:  scrub of data from temporary repository 
h2. Results 
For Batch scanning, no development is required.  All that is needed is to load data into Big Query and configure a scan in Google's automated DLP system.  This can be set up to accept regular batch updates and report on any new PI triggers.  Access can be managed vi RBAC to the project space.  
For the Atlassian migration specific data, there is a significant amount of noise in the scan results.  The scan will need to be tuned for the purposes of the pre migration stage of the Atlassian migration project. 
The proposed way to use this for the Jira migration would be to  
1) tune the DLP scan with collaboration from compliance team 
2) load one project at a time and only include the issues that need to be migrated 
3) identify issues with sensitive content 
4) de-identify the sensitive content in text fields 
5) place attachments with sensitive content into an sensitive content management repository (architecture WIP) and add link to the comments of the issue 
6) re-scan updated content to confirm now passes 
7) load updated content to cloud &amp; remove content from Big Query 
The same tuned scan can be used periodically to spot check that the process for managing access to PI data is being properly followed.  Extract a batch of issues from cloud, load into Big Querry, run scan, act on results.  
For real time scanning custom development is required.  Further effort on this is paused.  A requirement discussions with compliance will help determine whether real time scanning or spot checks are the right path forward.  
Next Steps 
POC Environment Decommission   
The data loaded for the POC to be removed from Big Query by the end of April 2023. 
POC move to Pilot   
The Project space used for the POC has appropriate team access to be used for batch scanning for the Atlassian migration project.  Recommend adding appropriate IT Risk and Compliance team access to support tuning the DLP scan for the purpose of migration project scanning.  Select a couple of specific projects to pilot the project specific scan process. 
Compliance Workspace 
Recommend setting up a separate project specifically for IT Risk and Compliance with limited access for that team to leverage the Batch scanning of content as they see fit. 
 </t>
  </si>
  <si>
    <t>Security</t>
  </si>
  <si>
    <t>Dias, Agnelo</t>
  </si>
  <si>
    <t>EA-1205</t>
  </si>
  <si>
    <t>ADR - DevOps Pipeline Advance Security</t>
  </si>
  <si>
    <t>follow on to EA-1187 
Advanced Security features, for SAST, secret scanning and advanced SCA scanning GitHub Enterprise  vs Mend/WhiteSource</t>
  </si>
  <si>
    <t>Gunputh, Nuvin</t>
  </si>
  <si>
    <t>EA-1204</t>
  </si>
  <si>
    <t>Blueprint Update - Policy and Risk Management Module Additions to Service Now</t>
  </si>
  <si>
    <t>The intent is to configure the ServiceNow applications and / or integrations where ServiceNow’s native platform functionalities will be prioritized, staying as close to Out-of-the – Box (“OOTB”) as possible. 
A Technical Architect is being provided by Crossfuze for Planning workshops. 
High level design document; is a deliverable in the SOW for the Plan phase of the project. 
This issue relates to review of that document.  </t>
  </si>
  <si>
    <t>EA-1202</t>
  </si>
  <si>
    <t>RelativityOne Blueprint v2</t>
  </si>
  <si>
    <t>Updated Blueprint to cover implementation of: 
* Thick Client applications (RDC &amp; ROSE) 
* RelativityOne Collect (Graph API Integration) 
Artefact is here: 
[RelativityOne Blueprint V2.0.docx (sharepoint.com)|https://446346262425.sharepoint.com/:w:/r/teams/CorporateApplicationsTeam/_layouts/15/Doc.aspx?sourcedoc=%7B85EB3209-A495-4132-81B3-A0D0EF10B871%7D&amp;file=RelativityOne%20Blueprint%20V2.0.docx&amp;action=default&amp;mobileredirect=true]</t>
  </si>
  <si>
    <t>Woodward, Craig</t>
  </si>
  <si>
    <t>Legal and Procurement</t>
  </si>
  <si>
    <t>EA-1198</t>
  </si>
  <si>
    <t>POC - ServiceNow and Jira Integration via Exalate</t>
  </si>
  <si>
    <t>...</t>
  </si>
  <si>
    <t>Da Silva, Michael</t>
  </si>
  <si>
    <t>EA-1197</t>
  </si>
  <si>
    <t>POV - Idalko Exalate ServiceNow + Jira Integration</t>
  </si>
  <si>
    <t>EA-1193</t>
  </si>
  <si>
    <t>IGM Trust Accounting Frontier Upgrade Blueprint Level 1</t>
  </si>
  <si>
    <t>Frontier application hosted in WDC is currently used by IG &amp; MI for trust accounting reconciliation.  Frontier V7.2 is out of maintenance since 2021 and needs to be upgraded.  This blueprint is to address the upgrade of Frontier V7.2 to V2022.x and migrate Frontier from WDC to IGM Azure</t>
  </si>
  <si>
    <t>EA-1192</t>
  </si>
  <si>
    <t>PoC - Jira Cloud Data to Data Platform</t>
  </si>
  <si>
    <t>draft architecture for Jira cloud integration with Data Platform  
use case 1 (primary and urgent) for QM team to be able to run reports they are currently running in tableau from data stored managed in data platform 
use case 2 (follow up) - expose Jira data for enterprise reporting with ability to map against service Now 
Roadmap - see PoV an Delivery Data Repository</t>
  </si>
  <si>
    <t>Deferred</t>
  </si>
  <si>
    <t>EA-1191</t>
  </si>
  <si>
    <t>PoV - Delivery Data Repository and Visibility</t>
  </si>
  <si>
    <t>Connecting Data from Jira, Service Now, MS Project, Apptio, CloudDockit, and augmenting as required in one location for Enterprise Reporting that is able to give a full picture of 
Project Overview 
Tech Health 
Operations 
Architecture 
IT Risk 
... 
 </t>
  </si>
  <si>
    <t>EA-1189</t>
  </si>
  <si>
    <t>PoV Automated Infrastructure Diagrams - Cloudockit</t>
  </si>
  <si>
    <t>Overview of Cloudockit offering and its integration with our cloud providers.   
What alternatives exist at what price point. 
Roadmap for reporting on current state and future state infrastructure architecture. 
Include comparison of integrated diagraming tools:  diagram.net (previously draw.io)  and lucidchart.  Both of these are options for diagram creation from Cloudockit (as well as visio) and they also integrate with M365, Atlassian, and other key DevOps tools. 
How do we secure and manage the content extracted from our cloud platforms.  </t>
  </si>
  <si>
    <t>Ideation</t>
  </si>
  <si>
    <t>Architecture CoP</t>
  </si>
  <si>
    <t>EA-1186</t>
  </si>
  <si>
    <t>ADR - Investment Management - Standalone Machine Access</t>
  </si>
  <si>
    <t>h2. Context 
IGM image conversion from Canada Life end point image is restricting remote login access to Investment Management workstations physically located in the users office workstation/desk. 
h2. Purpose 
There has been a requirement raised to allow RDP/SSH or direct remote access to these physical workstations from an IGM managed endpoint Windows client. this ADR will present the options and details of a proposed solutions. 
h3. Problem Statement: 
Through the WDC exit program, investment management user will be migrated to IGM network from CL network, all the client devices will be replaced with IGM images. Several of the IM *&lt;&lt;insert cohort names&gt;&gt;* which are using multiple devices on their desk, these extra standalone device require internal/external access + RDP/SSH from their primary IGM managed device (either from internal office or VPN networks). 
There exists a conflict between policy and and user requirements: 
* IGM's global access policy doesn't all the RDP/SSH protocol between the client devices. 
* Business users do not want to move to the virtual MMD now and prefer using the physical MMD for the standalone devices. 
h2. High Level Solution Diagram (Temp) 
*!https://confluence.igm.tools/download/attachments/264942226/image2023-2-17_9-27-13.png?version=1&amp;modificationDate=1676644034117&amp;api=v2|width=543,height=429!* 
h2. Summary: 
* Total user volume: &gt; 10 user access and 3 machines required 
* User work flow will be primary device(RDP) → Azure virtual MMD(RDP/SSH) → Standalone Device → various destination (internal/external) 
* User primary device will be windows based (IGM image) 
* The standalone device can be Windows(IGM Images) or Linux (which image not confirm yet?) 
* Azure virtual MMD will follow IGM policy to build 
* Firewall rules required to CDW to open the RDP/SSH access to infra VLAN. (dock's mac address required) 
* Firewall rules need to be analyzed for all the traffic from the standalone machine (internal and external), this will take time. (Derive from Julia’s spreadsheet) Note: Application List Spreadsheet for reference: [Wave 1 Testers_AD Group Creation_02 03 2023.xlsx|https://confluence.igm.tools/download/attachments/264942226/Wave%201%20Testers_AD%20Group%20Creation_02%2003%202023.xlsx?version=1&amp;modificationDate=1676644341126&amp;api=v2] 
h2. High Level Solution Diagram (Target) 
!https://confluence.igm.tools/download/attachments/264942226/image2023-2-17_9-42-42.png?version=1&amp;modificationDate=1676644962929&amp;api=v2|width=537,height=419! 
* Total user volume:  &lt; 10 users to 3 machines 
* User work flow will be primary device(RDP) → Azure virtual MMD(RDP/SSH) → various destination (internal/external) 
* This follow approved pattern, using VDI to access internal data repository. 
* No extra firewall rules required between Azure virtual MMD to office infra vlan (Temp solution firewall rules need to be removed) 
* No extra Firewall rules required to let standalone device to communicate with WDC/TCR and external internet. (Existing rules need to be removed from the temp solution) 
h2. Components Impacted 
# CDW firewall rules (From Azure vMMD to Standalone device) 
# Outbound firewall for standalone device to access internal/external data source. 
# vMMD need to build in Azure tenant 
# Standalone Device need to build in infra vlan 
# Some physical cabling or accessories required to setup the temp solution 
h2. Recommendation 
We will recommend user to use the target solution directly. But because project timeline and user preference. We will implement the temp solution first then move to target solution in the future.</t>
  </si>
  <si>
    <t>EA-1185</t>
  </si>
  <si>
    <t>ADR - Admin Accounts in Legacy AD</t>
  </si>
  <si>
    <t>Unless action is taken, IGM will lose access and ability to administer their technology stack within the Winnipeg Datacenter (WDC) immediately upon the execution of final Network Isolation. </t>
  </si>
  <si>
    <t>Murray, Ian</t>
  </si>
  <si>
    <t>Identity and Access</t>
  </si>
  <si>
    <t>EA-1184</t>
  </si>
  <si>
    <t>Blueprint Relativity One v1 - MVP Implementation</t>
  </si>
  <si>
    <t>Initial implementation of RelativityOne SaaS.  Basic user access via Web and OIDC for Authentication. 
BP includes enhancements to be made at a later time.</t>
  </si>
  <si>
    <t>EA-1182</t>
  </si>
  <si>
    <t>POV - AD Separation Impact - IGM DHCP Service Remediation</t>
  </si>
  <si>
    <t>.</t>
  </si>
  <si>
    <t>EA-1180</t>
  </si>
  <si>
    <t>PoV - Authoritative Public DNS</t>
  </si>
  <si>
    <t>|h3. Context 
Public (external) authoritative DNS services for the IGM family of companies is currently scattered among multiple registrars with a diversity of contacts from both IGM and Canada Life and DNS service providers including Canada Life.  As part of the IGM Divestiture program, IGM is migrating private DNS services from Canada Life management to IGM management within the IGM Tenant of the Canada Life network and has agreed to move all public authoritative DNS services from the Canada Life BIND service to an IGM service within three months of completing the Active Directory separation and network isolation project. 
 | 
|h3. Recommendation 
Consolidate domain registration of all IGM public DNS services to GoDaddy Domain Services with centrally managed IGM Registrant, Administrative, and Technical contacts.   All IGM public and private domain names should be added as ServiceNow configuration items in the IGM configuration managmenet database. 
Public authoritative DNS services should be consolidated to Cloudflare at top level unless management of the domain has been delegated to a third party.   Even if the authoritative DNS service is delgated to a third party, the domain should be registered by IGM. 
 |</t>
  </si>
  <si>
    <t>Hanson, Ernest</t>
  </si>
  <si>
    <t>EA-1179</t>
  </si>
  <si>
    <t>PoC - Jira Cloud Tableau Reporting</t>
  </si>
  <si>
    <t>Problem Statement 
# Enable QM folks to be able to show that they’ll be able to continue producing Tableau reports as they have in the Server environment 
# Enable additional teams to transition from ad hoc Power BI reporting to enterprise supported Tableau reporting 
# With planned integrations between ServiceNow be prepared for future growth in Tableau reporting and insight</t>
  </si>
  <si>
    <t>EA-1178</t>
  </si>
  <si>
    <t>PoV - Apple Device Endpoint Management Strategy</t>
  </si>
  <si>
    <t>Introduction of JAMF to fold Apple devices into device management strategy. 
Architecture solution Deliverable provided byKyndryl as well as delivery of implementation . 
 </t>
  </si>
  <si>
    <t>Masud, Saud</t>
  </si>
  <si>
    <t>EA-1177</t>
  </si>
  <si>
    <t>ADR - MuleSoft secure network path from GCP</t>
  </si>
  <si>
    <t>h3. Executive Summary 
*Problem Statement* 
The Integration and Automation team has been in the process of migrating MuleSoft applications from the legacy WDC environments to the new GCP MuleSoft Runtime Fabric Environments. There are three applications remaining in the WDC that are blocked from migrating due to not having an available encrypted channel to the source system from GCP. A decision is required on how to enable a secure connection from GCP to these source systems, so that the legacy MuleSoft environment can be fully decommissioned. 
*Context and Background Summary* 
In 2019, the integration team built new MuleSoft environments in Google Cloud Platform(GCP) using the Runtime Fabric hosting option. Once the new environments were ready, the integration team started migrating MuleSoft applications from the legacy hosting solution in the WDC to the new Runtime Fabric hosting solution in GCP. To date the integration team has migrated 90% of the applications from the WDC, and has not fully decommissioned the legacy environment. There are three legacy applications that have non-encrypted channels to their sources, hosted in the WDC. 
Key Options Considered(where applicable) 
Option A - Update the legacy applications to provide a secure connection for integrating with MuleSoft 
Option B - Stand up NGINX Plus proxies in WDC and IBM Cloud to provide secure connections to those data centers 
Option C -  Get an exception to use existing connections 
h4. *Components Impacted* 
* MuleSoft GCP environments 
* SAS 
* SAS Open Systems Oracle databases 
h3. +Recommendation+ 
Option C 
Immediate Next Steps  - File exemption to IT Risk as per process</t>
  </si>
  <si>
    <t>Russell, Jim</t>
  </si>
  <si>
    <t>Core API and Integration Platform</t>
  </si>
  <si>
    <t>Wu, Alan</t>
  </si>
  <si>
    <t>Cincotta, Gabriel</t>
  </si>
  <si>
    <t>EA-1146</t>
  </si>
  <si>
    <t>POV - IGM Network Sandbox Environment</t>
  </si>
  <si>
    <t>Link to Confluence: [POV - IGM Network Sandbox Environment - Enterprise Architecture - IGM Confluence|https://confluence.igm.tools/display/TDA/POV+-+IGM+Network+Sandbox+Environment]</t>
  </si>
  <si>
    <t>EA-1145</t>
  </si>
  <si>
    <t>ADR - Legacy Print at Head Office</t>
  </si>
  <si>
    <t>+*Context*+ 
*Problem Statement:* 
There are "legacy" non-Xerox LAN-attached printers deployed at head office locations (both Toronto and Winnipeg) primarily in the Executive/VIP areas.  With the cutover to the IGM network these printers are now orphaned and not functional.  Decision required to either enable these printers to function on the IGM network, replace them with Xerox equivalent devices, or remove them.  
*Context and Background Summary:* 
In 2015 an enterprise print/scan/fax solution was rolled out across the companies.  The standard solution uses Xerox multi-function devices (MFDs) running Equitrac centralized print/scan and billing software.  It provides for a standardized user and support experience across all offices and companies. 
There are some niche use cases that for reasons real or perceived, business felt were not addressed by the Xerox solution.  The result is a few business units purchased and deployed their own LAN-attached printers.  IT has provided "best effort" support for these printers over the years.  The printers were on the Canada Life network with a DHCP reservation, and CL hosted a print queue on a dedicated server outside of the Equitrac solution.  Hardware support and purchase of consumables (toner, paper) were left to the business end users. 
*Key Options Considered(where applicable):* 
1. Enable the printers on the IGM network. 
* Set up DHCP reservation, print queues on IGM Azure-hosted print servers and Universal Print, and enable IGM's instance of Equitrac to track usage (but not bill for usage). 
* Limit support to best-effort; hardware support and purchase of consumables remains responsibility of business end users. 
2. Replace with Xerox equivalent devices. 
* The current deployed model that matches (desktop-sized, color-capable) is the 6655.  We do not have any in stock nor are they available for purchase because they are discontinued.  Xerox does have new models compatible with our Equitrac solution that can be purchased. 
3. Remove the devices. 
* Standard Xerox MFDs are already deployed on the affected floors.  Users print/scan/fax needs can be met using the standard solution. 
h3. +*Recommendation*+ 
Short term, option 1:  Enable the printers on the IGM network. 
* Enables users to function as they did before.  Given who they are (Executive/VIP) trying to remove them will meet a lot of resistance.  They have these because of real or perceived gaps in the standard solution we would need to solve. 
* Architecture of Universal Print and IGM's Equitrac solution allows for this.  Have already done it for the Vezina PWM team Canon printer in RO23. 
* No cost.  (May consume an Equitrac device license but we have some extras of these because deployed Xerox fleet is reduced by office closures.) 
Med/long term, replace with the standard Xerox solution and Xerox-supported models. 
Immediate Next Steps 
* Set up DHCP reservations, print queues for the IGHO printers 
* Gather detailed information for the MIHO printers, then set up DHCP reservations and print queues</t>
  </si>
  <si>
    <t>Durston, Chris</t>
  </si>
  <si>
    <t>Communication Services</t>
  </si>
  <si>
    <t>EA-1144</t>
  </si>
  <si>
    <t>Blueprint - Lutron Lighting System Integration</t>
  </si>
  <si>
    <t>RITM Number: RITM0073163 
Requested By: Allen Stowe 
Requested For: Matt Steele 
Department: 7308 - ARCHITECTURE AND TECHNNOLOGY INNOVATION 
Business Area: 
Description: The IGM Corporate Real Estate team need to integrate the Lutron lighting management system with an End User control application. Scope of work to include a logical architecture and engineered solution to enable access to the lighting control network. * Detail the current lighting network configuration and implementation for renovated floors at 180 Simcoe. * Review the software interface requirements for the end user management application. This is currently mobile and appears to be tablet based. * Detail the call home IoT network requirements. The vendor has provided detailed port and network target requirements. * Develop a blueprint artifact and work with the project team to define the charter, requirements, etc.</t>
  </si>
  <si>
    <t>EA-1142</t>
  </si>
  <si>
    <t>Blueprint - Discovery - Process Automation Security and Infrastructure Design in IGM Azure</t>
  </si>
  <si>
    <t>ARB Review</t>
  </si>
  <si>
    <t>Gokul, Ashray</t>
  </si>
  <si>
    <t>Business Process Automation</t>
  </si>
  <si>
    <t>EA-1141</t>
  </si>
  <si>
    <t>Adobe Enterprise Console Configuration</t>
  </si>
  <si>
    <t># Understand the nature and impact to the End User community. Not sure if the helpdesk is being flooded. Who? 
# David has temporarily elevated my privilege in the Adobe Admin console so I can review a few things. There will be NO changes performed. _This is a research review._ 
# Remove the Social Media association login icons on the profile login screen. 
# Look at options for 2FA at both the administrator and user level. 
# Review this new storage applet and determine: what is it… What is in storage… maybe this can actually be beneficial in us taking control of the Adobe Personal storage. 
# Develop an ADR with recommendations very quickly and MOC documents if we implement procedural changes on the use of Adobe products.</t>
  </si>
  <si>
    <t>Strategy</t>
  </si>
  <si>
    <t>End User Productivity</t>
  </si>
  <si>
    <t>EA-1140</t>
  </si>
  <si>
    <t>As Built Blueprint for Sedar to reflect Citrix VDI references details</t>
  </si>
  <si>
    <t>Make new version of  
[SEDAR Discovery Blueprint 202109 - Enterprise Architecture - IGM Confluence|https://confluence.igm.tools/display/TDA/SEDAR+Discovery+Blueprint+202109] 
that reflects vMMD vs VDI references.</t>
  </si>
  <si>
    <t>DONE</t>
  </si>
  <si>
    <t>Governance, Risk and Compliance</t>
  </si>
  <si>
    <t>EA-1139</t>
  </si>
  <si>
    <t>Discovery Blueprint - AvePoint SharePoint Mgmt Components</t>
  </si>
  <si>
    <t>Describe AvePoint components to be integrated with SharePoint to support better management of the SharePoint service.  What are the requirements; How are they integrated, what are the security implications pro/cons.   </t>
  </si>
  <si>
    <t>EA-1138</t>
  </si>
  <si>
    <t>PoV - Strategic Technology Delivery and Operations Data Management</t>
  </si>
  <si>
    <t>This PoV spans End User , ITSM, and DevOps, but it has been placed into the DevOps Tools Epic because it is a blocker in the Atlassian Cloud migration project. 
*  workflows in Jira vs Service Now vs other productivity tools  
* documentation/data/information in Confluence Cloud vs SharePoint vs Service Now Knowledge Base 
* current state application and infrastructure architecture and low level design documents 
* delivery and devops data management 
* separation of delivery data from customer data 
* managing access to PI/customer data from delivery tooling when required</t>
  </si>
  <si>
    <t>EA-1137</t>
  </si>
  <si>
    <t>R1+ Telephony CCM</t>
  </si>
  <si>
    <t>Deploying telephony for R1+</t>
  </si>
  <si>
    <t>EA-1136</t>
  </si>
  <si>
    <t>IGM Oasis Voice Call Data Retention</t>
  </si>
  <si>
    <t>EA-1135</t>
  </si>
  <si>
    <t>Historic Service CRM Data Migration</t>
  </si>
  <si>
    <t>Historic Case information which was created on Service CRM needs to be migrated before the end of the Service CRM License expiry. </t>
  </si>
  <si>
    <t>EA-1131</t>
  </si>
  <si>
    <t>Change Automated Case User</t>
  </si>
  <si>
    <t>Automated Case User was set up when FSC was stood up, however at that time, the user credentials which we used were from a named Salesforce user.  
The Named user needs to be changed to a Service Account or System user. 
Link to Confluence: [ADR 016 - CCM- Change to Automated Case User - Contact Centre Optimization - IGM Confluence|https://confluence.igm.tools/pages/viewpage.action?spaceKey=CCO2&amp;title=ADR+016+-+CCM-+Change+to+Automated+Case+User] 
 </t>
  </si>
  <si>
    <t>EA-1130</t>
  </si>
  <si>
    <t>CCM R1+ Telephony</t>
  </si>
  <si>
    <t>Following Release 1 of the Contact Centre, not all of the Contact Centers were migrated off their current telephony platform.  
A decision is required on if/ when to migrate the remaining contact centers.</t>
  </si>
  <si>
    <t>EA-1129</t>
  </si>
  <si>
    <t>Mortgage users archiving documents in CMOD</t>
  </si>
  <si>
    <t>We are required to move documents from end user workstations into CMOD. There is no established pattern for moving documents from a user workstation into CMOD.  
See full description here: [Archiving Closing Documents in CMOD - IG Mortgage Platform - IGM Confluence|https://confluence.igm.tools/display/IMP/Archiving+Closing+Documents+in+CMOD]</t>
  </si>
  <si>
    <t>Anderson, Brad (IG)</t>
  </si>
  <si>
    <t>Product</t>
  </si>
  <si>
    <t>EA-1127</t>
  </si>
  <si>
    <t>SuccessFactors - People Analytics</t>
  </si>
  <si>
    <t>This PoV is to present the SAP SuccessFactors People Analytics which will be the overall solution for all reporting of IGM employee and IGU LMS data in SuccessFactors</t>
  </si>
  <si>
    <t>Ho, Louis</t>
  </si>
  <si>
    <t>Human Capital Management Platform</t>
  </si>
  <si>
    <t>EA-1125</t>
  </si>
  <si>
    <t>SAP Fieldglass SSO</t>
  </si>
  <si>
    <t>Procurement team has engaged SAP to implement SSO to HCM Works Fieldglass with IGM Azure</t>
  </si>
  <si>
    <t>EA-1121</t>
  </si>
  <si>
    <t>PoV - O365 Add-Ins</t>
  </si>
  <si>
    <t>EA-1120</t>
  </si>
  <si>
    <t>vMMD Managed Access</t>
  </si>
  <si>
    <t>Identify a strategic model for managing access to routing through IGM's network from Virtual workstations which includes 
Consideration for 
* 3{^}rd{^} party 
* rdp/ssh 
* least privilege possible 
* ease of relinquishing/mgmt. 
* various types of user groups</t>
  </si>
  <si>
    <t>EA-1116</t>
  </si>
  <si>
    <t>ADR -SFTP to Unitrax for MFTS</t>
  </si>
  <si>
    <t>Current IGM Business users of the vendor application Unitrax are uploading and downloading files to and from their desktop using Command to ftp. Due to the migration from Canada Life to IGM Infrastructure, this ftp process will no longer be allowed once migration to MMD is completed. A new solution needs to be in place to securely transfer files to and from Unitrax.</t>
  </si>
  <si>
    <t>Yamson, Noel</t>
  </si>
  <si>
    <t>EA-1112</t>
  </si>
  <si>
    <t>Blueprint Level 1 - Investment Management End User Workstation</t>
  </si>
  <si>
    <t>EA-1106</t>
  </si>
  <si>
    <t>ADR: Advisor Portal - Data loss protection approach</t>
  </si>
  <si>
    <t>Currently, users in Advisor Portal have access to building custom reports on all data they have access to, and containing any field available to them on reportable objects in the system (e.g. Contact, Account, etc.) 
This creates both a data loss risk and a privacy risk as mass amounts of (potentially sensitive PI) data can be placed onto a report and copied out of the system. 
There are currently no additional controls in place to prevent, or report, on instances of mass data exfiltration.  This ADR is to determine additional controls to add to mitigate these risks. 
Possible options: 
# Deny permission to creating custom reports to certain profiles in Salesforce (rely on centrally developed reports to fill the need) 
# Add transaction security policies to alert on instances of certain fields being included in a report</t>
  </si>
  <si>
    <t>Reznik, Jeff</t>
  </si>
  <si>
    <t>IGM Core Digital Platform</t>
  </si>
  <si>
    <t>Stefanovic, Milorad</t>
  </si>
  <si>
    <t>EA-1103</t>
  </si>
  <si>
    <t>ADR - Commission Splits Effective Dating</t>
  </si>
  <si>
    <t>Rbroker DWE doesn't include effective dates in splits.  Commissions and Data platform reporting require effective dates for accurate operation. 
A request to Broadridge to add effective dates to the DWE will be made, but in the interim a solution will be required. 
Options: 
# Use the new Replicated PDQ environment to pull effective dates. 
# use the pattern of 'full local' processing to derive an effective date. 
 </t>
  </si>
  <si>
    <t>Projects and Initiatives spanning Portfolios</t>
  </si>
  <si>
    <t>EA-1101</t>
  </si>
  <si>
    <t>ADR - MuleSoft Fabric Appliance Replacement</t>
  </si>
  <si>
    <t>h2. Executive Summary 
h3. *Context* 
+Problem Statement+ 
The current IGM MuleSoft GCP environments that were installed using the [MuleSoft Runtime Fabric installation on VMs|https://docs.mulesoft.com/runtime-fabric/1.13/index-vm-bare-metal] option for hosting MuleSoft applications is being deprecated Sept. of 2023. MuleSoft will stop supporting this installation option Sept. of 2024. A new installation option needs to be selected to migrate the existing IGM MuleSoft GCP environments to. 
+Context and Background Summary+ 
In 2019, the integration team built new MuleSoft environments in Google Cloud Platform(GCP) using the Runtime Fabric hosting option. At the time, installing on Linux VMs was the only option for installing Runtime Fabric. Once the new environments were ready, the integration team started migrating MuleSoft applications from the legacy hosting solution in the WDC to the new Runtime Fabric hosting solution in GCP. To date the integration team has migrated 90% of the applications from the WDC, and has not fully decommissioned the legacy environment. There are currently 380 MuleSoft applications hosted on Runtime Fabric. IGM's license agreement with MuleSoft is expiring in the first quarter of 2023. There is currently no DR solution in place for the GCP environments, DR implementation is being planned for 2023. 
Key Options Considered(where applicable) 
Option A - Migrate to a managed Kubernetes Service 
Option B - Migrate to CloudHub 2.0 
Option C - Migrate back to Mule Runtime based installation 
h3. *Components Impacted* 
MuleSoft GCP installation, all environments 
h3. *Recommendation* 
Option A - Migrate to a managed Kubernetes Service 
Immediate Next Steps 
Obtain budget for implementation 3rd Quarter 2023</t>
  </si>
  <si>
    <t>EA-1100</t>
  </si>
  <si>
    <t>CAPINTEL - Order form + Arch POV</t>
  </si>
  <si>
    <t>This is for the web component only. This is a request to document Architecture and review with EA/Risk. 
CaptIntel: Maxim Moreau - moreau@capintel.com 
Internal IG: Mike Camara (https://confluence.igm.tools/display/CAP/Blueprint) 
Procurement Analyst: to be assigned 
Sol Architect: TBD 
Target Date for Order Form: November 15th, 2022.</t>
  </si>
  <si>
    <t>Lee, Michael</t>
  </si>
  <si>
    <t>Lok, Richard</t>
  </si>
  <si>
    <t>EA-1099</t>
  </si>
  <si>
    <t>•    Currently, Marketing &amp; Distribution are not getting certificates of completion through the existing two Advisor training platforms (On24 and TSN - https://thestreamingnetwork.com)  
•    Business is looking to partner with CE Corner to manage the certificate process.  
•    ON24 will remain as the actual training platform and CE Corner will integrate to be able to track the completion of the required certifications.  
•    CE Corner is a web-based platform, login credentials will be stored and perhaps the dealer code.   
•    Business looking to integrate CE Corner with the Advisor Portal on Salesforce.  
•    Advisors will sign into CE Corner for authentication from Mackenzie Institute.  
•    Certification programs include IIROC and MFDA.  
•    Timeline:  Contracts signed for the new year.  </t>
  </si>
  <si>
    <t>EA-1097</t>
  </si>
  <si>
    <t>IGM Contact Center Observability &amp; SIEM Capability</t>
  </si>
  <si>
    <t>Contact Center Observability  and SIEM Pattern 
Documentation:  
[ADR 013 - IGM Contact Center Observability &amp; SIEM Integration - Contact Centre Optimization - IGM Confluence|https://confluence.igm.tools/pages/viewpage.action?pageId=252060436]</t>
  </si>
  <si>
    <t>EA-1096</t>
  </si>
  <si>
    <t>Observability Blueprint - Detailed Design</t>
  </si>
  <si>
    <t>Update to blueprint to include detailed design including  
Synthetic Monitoring 
App Monitoring 
Patterns 
 </t>
  </si>
  <si>
    <t>Adams, Andrew</t>
  </si>
  <si>
    <t>Observability Platform</t>
  </si>
  <si>
    <t>EA-1095</t>
  </si>
  <si>
    <t>Active Directory Backup and Restoration</t>
  </si>
  <si>
    <t>Problem Statement:  
IGM lacks Active Directory Backup and Restoration capabilities in line with current industry standards for an Enterprise and requires said capabilities to properly maintain their inherited copy of the post-AD Isolation Active Directory Forest without the need for. 
Reference document is [ADR - Recovery Manager for Active Directory - Draft IPM.docx|https://can01.safelinks.protection.outlook.com/ap/w-59584e83/?url=https%3A%2F%2F446346262425.sharepoint.com%2Fteams%2FDivestitureProgram%2FShared%2520Documents%2FIsolation%2520Of%2520Services%2520-%2520Active%2520Directory%2520Isolation%2FADR%2520-%2520Recovery%2520Manager%2520for%2520Active%2520Directory%2520-%2520Draft%2520IPM.docx%3Fweb%3D1&amp;data=05%7C01%7CAllen.Stowe%40igmfinancial.com%7C4b937cf6c34942dc04de08dac201eabe%7Cdc411c631f524491bb51c4d215a1de23%7C0%7C0%7C638035610795970846%7CUnknown%7CTWFpbGZsb3d8eyJWIjoiMC4wLjAwMDAiLCJQIjoiV2luMzIiLCJBTiI6Ik1haWwiLCJXVCI6Mn0%3D%7C3000%7C%7C%7C&amp;sdata=9XZXeBMoZQA0DsTY2eicqziLjlW2CFFpkY7NLUg0dq8%3D&amp;reserved=0]</t>
  </si>
  <si>
    <t>EA-1094</t>
  </si>
  <si>
    <t>PoV - Employee Document Storage</t>
  </si>
  <si>
    <t>Employee files are currently kept as hard copy files on site in our HR offices in Winnipeg/Toronto/Montreal.  HR Business raised the question on how will employee files be stored electronically</t>
  </si>
  <si>
    <t>EA-1093</t>
  </si>
  <si>
    <t>Seismic Architecture Blueprint</t>
  </si>
  <si>
    <t>Updated solution blueprint for Seismic Architecture blueprint for Data Loader can be found through the following link: 
[Architecture Blueprint - Seismic - IGM Confluence|https://confluence.igm.tools/display/SEIS/Architecture+Blueprint]</t>
  </si>
  <si>
    <t>EA-1092</t>
  </si>
  <si>
    <t>IGM Intranet POV</t>
  </si>
  <si>
    <t>Providing a current state view of the IGM Intranet focusing on platform, Search engine, users and volumes.  
Part of release 2 pre work for the Contact Center.</t>
  </si>
  <si>
    <t>EA-1090</t>
  </si>
  <si>
    <t>Enterprise Technical Reference Architecture Update</t>
  </si>
  <si>
    <t>Update to the ETRA and structure to Roadmaps</t>
  </si>
  <si>
    <t>EA-1088</t>
  </si>
  <si>
    <t>PoV - TRG Screen Optimize Insight</t>
  </si>
  <si>
    <t>TRG Optimize Spend, a SaaS application by TRG Screen, is in use by Procurement to manage software licenses. Business has requested to expand TRG capability to include reporting functionality in TRG Optimize Insight.  TRG Optimize Insight is a standalone application hosted in Azure</t>
  </si>
  <si>
    <t>New Applications not Categorized</t>
  </si>
  <si>
    <t>EA-1087</t>
  </si>
  <si>
    <t>IPC eCRM Release 12 (Nov 4)</t>
  </si>
  <si>
    <t>This is a BAU release with minor enhancements. 
Link to Jira release: [IESF: Warranty Release 12 - IGM JIRA|https://jira.igm.tools/projects/IESF/versions/25723] 
Summary of changes: 
# IESF-265 - Advisor's NAB membership. Custom fields on Account to accommodate for the information and build an LEX action to display the IPC Affiliation summary for IIROC / MFDA Advisors 
# IESF-285 -Advisor's IPC One role. Custom fields on Account to accommodate for the information and use the above action to display the info for IIROC / MFDA Advisors 
NOTE: 2 LEX actions have been created to handle IIROC and MFDA advisor IPC affiliation separately. The LEX Advisor page component for these has been filtered to show the actions for IIROC and MFDA advisors accordingly. 
The following are reporting / dashboard related changes 
# IESF-311 - Advisor Goals - Portfolio Construction report. New report and filter by record type. 
# IESF-313 - Advisor Financial Data report update - show only Active Advisors. update filter. 
# IESF-305 - Activities Report for BD Users - show previous and current quarter. update filter. 
# IESF-312 - Advisor Portfolio Reports - Filter by Region.</t>
  </si>
  <si>
    <t>Ahmed, Rizwan</t>
  </si>
  <si>
    <t>EA-1084</t>
  </si>
  <si>
    <t>Contact Center Observability &amp; SIEM Integration</t>
  </si>
  <si>
    <t>Defining the Observability and SIEM integration for the Contact Center.</t>
  </si>
  <si>
    <t>Contact Centre 2022</t>
  </si>
  <si>
    <t>EA-1081</t>
  </si>
  <si>
    <t>SumTotal User Provisioning for IG and MI- Employee mapping to Username</t>
  </si>
  <si>
    <t>Map the Employees to a Username in SumTotal. Currently IG, MI and IPC use different fields. 
IG Username is SF Employee Number 
MI Username is the Lan ID 
IPC Username is the email</t>
  </si>
  <si>
    <t>Aranguren, Lenin</t>
  </si>
  <si>
    <t>EA-1078</t>
  </si>
  <si>
    <t>Blueprint for the Xerox Print Solutions deployed at IGM</t>
  </si>
  <si>
    <t>EA-1077</t>
  </si>
  <si>
    <t>XL Connector for MMD machine with Standalone (COM) and Excel Add-in version</t>
  </si>
  <si>
    <t>The current standalone XL Connector running on the non-MMD machine needs to be installed on the MMD machine as a part of the corporation desktop environment change. Also, the Excel Add-in version of XL Connector needs to address the issue with an Office permission detected by the previous PoC which was conducted earlier.</t>
  </si>
  <si>
    <t>Cesak, Attila</t>
  </si>
  <si>
    <t>EA-1076</t>
  </si>
  <si>
    <t>IG Mortgage Blueprint - As Built Release R1A</t>
  </si>
  <si>
    <t>IG Mortgage Program detailed design level blueprint. 
See following Confluence space for the living Mortgage Blueprint 
[Mortgage Living Blueprint - IG Mortgage Platform - IGM Confluence|https://confluence.igm.tools/display/IMP/Mortgage+Living+Blueprint]</t>
  </si>
  <si>
    <t>Didyk, Greg</t>
  </si>
  <si>
    <t>EA-1069</t>
  </si>
  <si>
    <t>Palo Alto GlobalProtect Enforce Network Access Remediation</t>
  </si>
  <si>
    <t>The IGM Palo Alto GlobalProtect VPN service is confgiured as always on and to enforce protection for network access which limits network access for enrolled devices until the GlobalProtect VPN has been established.  This control is only active when the GlobalProtect VPN is not connected; once the connection is established GlobalProtect VPN security policies manage network access. 
The current IGM configuration for enforce protect allows access to network services required to perform device configuration managment as well as most Microsoft 365 services.  The exceptions are managed as a list of IP addresses and URLs.  GlobalProtect currently has a limit of 40 URLs for this exception list but the current IGM configuration has more than 40 URLs.   This has resulted in problems with provisioning and managing configuration of enrolled devices.</t>
  </si>
  <si>
    <t>EA-1067</t>
  </si>
  <si>
    <t>Platform Zero Transition - Architecture POV</t>
  </si>
  <si>
    <t>POV for the transition. </t>
  </si>
  <si>
    <t>Singh, Ajender</t>
  </si>
  <si>
    <t>EA-1066</t>
  </si>
  <si>
    <t>POV Strategic View of Badged Employee Onboarding/Offboarding</t>
  </si>
  <si>
    <t>The current state onboarding &amp; offboarding experience is fragmented across various legacy and target state software platforms 
* This affects IGM Employees, IGWM Advisors and IGM Contingent Workers 
* The HR BoR platforms for the Employee Advisor persona (introduced as part of the Growth &amp; Efficiency program) is fragmented across multiple HR BoR platforms 
* Two approaches to remediate the core issues have been recommended: tactical and strategic. *This document will focus primarily on the strategic solutioning*</t>
  </si>
  <si>
    <t>EA-1063</t>
  </si>
  <si>
    <t>Blueprint - As Built Policy Pak</t>
  </si>
  <si>
    <t>| | 
|h3. Context 
This paper is being raised with regard to providing a summary of opinions and recommendations which have been brought forward by the projects solution team. With the recent modernization of the IGM corporate operating systems image, a number of controls have been put in place to manage the environment. There are requirements and circumstances where these controls impede the ability to maintain release and update currency for locally installed software. 
The context of discussion is solely focused on the Investment Management physical AND virtual images hosting related business software on these images.h3. Problem Statement 
In the current configuration of a non-IGM Windows image (aka Canada Life image), there are few restrictions in place which control the installation and elevation of privileges when installing or updating software. The end user is permitted to install any software or license keys regardless of the acquisition method. 
This is affecting a go forward plan and direction for the Investment Management portfolio and corporate mandate to deploy an IGM managed end point operating system. 
 | 
|h3. Recommendation 
 |</t>
  </si>
  <si>
    <t>EA-1062</t>
  </si>
  <si>
    <t>IG Trust Accounting - Level 3 Blueprint</t>
  </si>
  <si>
    <t>Level 3 Blueprint for IG Trust Accounting Modernization project</t>
  </si>
  <si>
    <t>Trust Accounting 2022</t>
  </si>
  <si>
    <t>EA-1058</t>
  </si>
  <si>
    <t>ADR - Physical Building Security - Image Conversion End Point Workstation</t>
  </si>
  <si>
    <t>A decision needs to be made regarding the compute arrangements for the end point workstation &amp; network access. Each security vendor's software packages are GUI clients that are deployed to laptops at each office location which are not compatible with the IGM Managed Desktop solution being rolled out across IGM. 
Two key dates are driving this decision: 
* IGM Managed Desktop migration from Canada Life Laptops - Oct 30, 2022 
* IGM Active Directory separation from Canada Life AD - April, 2023 
Because a modernized Physical Building Security solution has not yet been green-lit to replace the 16 vendors with a harmonized solution leveraging modern web-based technology and centralizing administration in a single head-office based location, a decision will be provided with guidance moving forward.</t>
  </si>
  <si>
    <t>EA-1053</t>
  </si>
  <si>
    <t>Migrating XL Connector Standalone to MMD Machine and Introducing a New Excel Add-in</t>
  </si>
  <si>
    <t># XL Connector 365 Excel Add-in Installation on to MMD Machine (Add-in installation is not restricted by a new software installation policy from MMD Team) 
## MMD user cannot generate a schedule report due to Office Suite permission from Excel Add-in version 
# XL Connector Standalone version needs a MMD migration 
# XL Connector is working with Salesforce SSO currently and it will be continued 
# XL Connector supports a job cancellation for the upload</t>
  </si>
  <si>
    <t>EA-1052</t>
  </si>
  <si>
    <t>ADR - IG Growth and Efficiency - Image Conversion End Point Workstation</t>
  </si>
  <si>
    <t>A decision needs to be made regarding the compute arrangements for the end point workstation &amp; network access. The Advisor community today is virtual and access IGM services with devices which are not supplied or managed by IGM. Our preferred corporate computing policy is to deploy physical devices to Corporate employees which provide more flexible computing and a securely managed endpoint. As a new Corporate employee, the new designates will require access to Advisor and Corporate resources for the foreseeable future. Because an identity cannot be assigned both types of identities, a decision will be provided with guidance moving forward.</t>
  </si>
  <si>
    <t>Managed Desktop 2022</t>
  </si>
  <si>
    <t>EA-1051</t>
  </si>
  <si>
    <t>Kyndryl Access to IGM Solution</t>
  </si>
  <si>
    <t xml:space="preserve">Request email from Allen: 
Component: Active Directory 
Approval Level: ARB 
Delivery Type: Project 
Primary Domain: End User 
Canada Life Impact: No 
Divestiture Impact: Yes 
</t>
  </si>
  <si>
    <t>EA-1050</t>
  </si>
  <si>
    <t>ADR: G&amp;E Field Employee Onboarding - SP-&gt;ECC Sync Solution</t>
  </si>
  <si>
    <t>ADR for logging decision targeting G&amp;E's dedicated Advice model pilot for Nov 1st. 
Input from Hybrid design and RVP implementation 
[SailPoint to SAP ECC Daily Sync - G&amp;E - IGM Confluence|https://confluence.igm.tools/display/GE/SailPoint+to+SAP+ECC+Daily+Sync] 
 </t>
  </si>
  <si>
    <t>EA-1048</t>
  </si>
  <si>
    <t>memoQ is to replace LogiTerm in order to achieve a high productivity and efficiency for the translation work</t>
  </si>
  <si>
    <t>* memoQ server will be hosted at *memoQ VM* on *Consoltec’s* Azure VM in which is the memoQ's partner. The Flowfit is currently hosted at Consoltec Azure VM. And, memoQ will be integrated with the Flowfit for the workflow management. 
* memoQ server needs *IGM firewall* to open 3 ports: 
‐ 2705 (communication client/server) – this is the default port for communication with the memoQ Server 
‐ 443 (memoQ Web et https) – this could be an alternative port that could be used if 2705 is already in use 
‐ 80 (activation) – this port is used for activation purposes only 
* *User types* (20 - 25 users till year 2023): 
** Translation team will dedicate one {*}administration user{*}, and one additional user as a backup 
** *Internal Users (Mackenzie Translation team)* will be based on *Thick client* 
** *External Users (Contractor &amp; Freelancer)* will be using *Web client* 
* Security, *IGM Azure AD as IdM* (Identity Provider) and {*}OIDC-based SSO{*}, MFA is supported  
* Business Priority, *LOW* 
* Business Critical, *LOW* (the business can continue with a manual translation process) 
 </t>
  </si>
  <si>
    <t>EA-1044</t>
  </si>
  <si>
    <t>IGMFinancial.net Build-in Administrators Membership</t>
  </si>
  <si>
    <t>Two GWL.BZ groups were found to be nested within the IGMFinancial.net  
Built-In Administrators group on Active Directory Domain Controller servers. The aggregated membership of these two groups, and their nested members, amounts to almost 350 human and non-human User accounts.  
Additionally, since access is being provided to CanadaLife through GWL.BZ groups, and IGM has no control or awareness of GWL.BZ group membership changes, IGM has no control or awareness as to changes in who has administrative access to the IGMFinancial.net Forest and Domain.</t>
  </si>
  <si>
    <t>Tech Oversight</t>
  </si>
  <si>
    <t>EA-1043</t>
  </si>
  <si>
    <t>IGM Interim Privileged Access Management Solution for Domain Admin Right Transfer To IGM</t>
  </si>
  <si>
    <t>This decision request is to design and implement an interim state PAM solution.  
[[EA-1043] ADR - Interim PAM for (DR-CL-IGM-062) Domain Admin Right Transfer to IGM.docx (sharepoint.com)|https://446346262425.sharepoint.com/:w:/r/sites/IGMTransformation/_layouts/15/Doc.aspx?sourcedoc=%7B52F888CE-FD4B-4E99-8FE5-53A289A14EF7%7D&amp;file=%5BEA-1043%5D%20ADR%20-%20Interim%20PAM%20for%20(DR-CL-IGM-062)%20Domain%20Admin%20Right%20Transfer%20to%20IGM.docx&amp;action=default&amp;mobileredirect=true]</t>
  </si>
  <si>
    <t>EA-1042</t>
  </si>
  <si>
    <t>Expertus - Migration</t>
  </si>
  <si>
    <t>Expertus is at EOL. Target state design</t>
  </si>
  <si>
    <t>EA-1041</t>
  </si>
  <si>
    <t>FX Hedgebook Cloud Migration Blueprint</t>
  </si>
  <si>
    <t>This blueprint describes FX Hedgebook cloud migration strategy, including: 
* database migration (Local SQL Server to GCP Cloud SQL) 
* backend services migration (local hosting to GCP HA environment 
* FX Hedgebook project related file share service migration   
Project Code: IM000021 
Blueprint document is on the Confluence @ [https://confluence.igm.tools/display/FXHGBK/FX+Hedgebook+Cloud+Migration+Blueprint+-+Discovery]</t>
  </si>
  <si>
    <t>Zhang, Michael</t>
  </si>
  <si>
    <t>EA-1040</t>
  </si>
  <si>
    <t>POV - Power Automate assessment and recommendation</t>
  </si>
  <si>
    <t>Will plan for an ARB, more details provided by Ravi</t>
  </si>
  <si>
    <t>Hardeo, Ravindra</t>
  </si>
  <si>
    <t>Robotic Process Automation</t>
  </si>
  <si>
    <t>EA-1038</t>
  </si>
  <si>
    <t>ADR: Day 0 Data Replication Pattern</t>
  </si>
  <si>
    <t>h3. Background 
The Data team is looking to set up a near real-time data replication process between Salesforce CRM and Data Platform.  Benefits to having a near real-time copy of Salesforce data in another data store include: advanced analytics, reporting, test data preparation, etc.  Given the limits of SOQL and the Salesforce platform itself (governors, limits, etc.), it is extremely difficult to do these things on platform.  Therefore, a replicated data store is highly desirable. 
Two major capabilities have been identified as required to deliver a near real-time data replication solution: 
* Ability to provide an ongoing stream of changes in data, as they occur 
* Ability to provide a full set of objects and records, on demand 
** This could be the entire dataset or a subset thereof 
The solution components for the first capability has already been determined by EA and Data to be a combination of Salesforce CDC and Confluent.  The second capability is still to be determined and is the subject of this ADR. 
One immediate use case for this data replication solution is found within the Contact Centre Modernization project; there is a need to provide up-to-date data to our workforce management system, Verint.  The focus of this ADR, however, is not to decide on the integration approach between Salesforce and Verint, but to determine the approach to providing "full" or "day 0" loads of data to Data Platform.  Use cases like the one found in the CCM project though are considered in this ADR to ensure the solution is comprehensive and inclusive of the needs of future stakeholders. 
h3. Problem Statement 
Additional solution components are required to solve for the second capability of providing full sets of objects and records on demand.  This is required to do the initial bootstrap of the target data store, as well as patch/heal the data store in cases of system outages, data loss, etc.</t>
  </si>
  <si>
    <t>EA-1036</t>
  </si>
  <si>
    <t>PoV - Marketing Cloud for HR Communications</t>
  </si>
  <si>
    <t>This PoV is for replacing Bananatag with Marketing Cloud, leveraging the existing license used by Marketing Team</t>
  </si>
  <si>
    <t>EA-1034</t>
  </si>
  <si>
    <t>ADR - Sailpoint and Service Now integration - Contingent Worker Input</t>
  </si>
  <si>
    <t>h3. Context 
Problem Statement: The information for Contingent workers in the new IGM SailPoint deployment will not have an upstream Authoritative source for triggering the creation of, and changes to Identity records (e.g. SIS for Advisors and SuccessFactors for Corporate). A decision is required to determine which system of entry will be used for entering contingent worker information in SailPoint 
Context and Background Summary: 
The existing contingent system of record for onboarding is ServiceNow.     
Key Options Considered(where applicable): 
The two primary options to consider are: 
Option 1: Onboard Contingent worker via SailPoint 
Option 2: Onboard Contingent worker via ServiceNow  
Option 3: Provide a launch point from ServiceNow to a SailPoint screen 
h3. Recommendation 
Option 3: Provide a launch point from ServiceNow to a SailPoint screen 
Users will access ServiceNow initially.  When they are ready to onboard a new user there will be a link embedded within ServiceNow which will launch a new window which is will be served from the SailPoint server.  This new window will be the initiation point for contingent user and non-human identity provisioning process. 
From a development effort all options are similar with regards to development of a UI screen to capture relevant information.  Option 3 will have some additional benefits: 
* Similar to Option 1, option 3 will reduces the overall complexity by removing the integration point required if entry point was in ServiceNow.  
* Quicker turn around time from data entry to account creation since there is no aggregation/API integration with external system. 
* Still leverages the ServiceNow application as initial access point to keep user experience consistent. 
* Seamless user experience, with ServiceNow acting as launch point with seamless look and feel. 
Immediate Next Steps 
As a part of the ongoing SailPoint deployment, engage with TCS (implementation partner) to develop the UI screen for SailPoint and a ServiceNow developer to develop link out to SailPoint.</t>
  </si>
  <si>
    <t>EA-1032</t>
  </si>
  <si>
    <t>Blueprint - Trade Call Recording</t>
  </si>
  <si>
    <t>*Context:*   
IM Trade Call Recording and Turret Phone System is a vendor-provided solution for integrating telephony with call recording used by Investment Management Traders in Toronto.  The system is used by the Trading desks to directly contact various brokerage houses at corresponding organizations to inquire/complete transactions.  Every call made on the Turret phones is recorded on the vendor’s cloud infrastructure.  Both systems are provided by the vendor IPC. </t>
  </si>
  <si>
    <t>EA-1025</t>
  </si>
  <si>
    <t>Enabling embedded analytics on Success Factors</t>
  </si>
  <si>
    <t>EA-1023</t>
  </si>
  <si>
    <t>ADR - MuleSoft GCP DR Pattern</t>
  </si>
  <si>
    <t>h3. Context 
The current Google Cloud implementation of MuleSoft Fabric does not have a DR capability. This ADR will present options and a recommendation for choosing the DR design. 
Context and Background Summary 
In 2019 the Integration team stood up a new MuleSoft environment in Google Cloud along side the new Data Platform environment. This new environment leveraged the new Fabric product MuleSoft released the year prior which is build on a packaged version of kubernetes. At the time, IGM was new to cloud computing, and the integration and data teams were the first teams to move to GCP. IGM was building new Cloud and Network teams, as prior to this, all infrastructure and networking was managed by Canada Life. Because of this, there was no current DR environment or pattern for the new cloud installations to leverage. The cloud environment has HA capabilities that allow the new systems to be resilient across data centres within the same region, and this was judged sufficient for the near term. Now that the IGM infrastructure and network teams are maturing, there is a new network design that can support the Integration team creating a DR solution for the GCP MuleSoft environment.   
Key Options Considered(where applicable) 
Option A - Cross-region active-active DR solution for MuleSoft Fabric Staging and Production environments 
Option B - Cross-region cold standby DR solution for MuleSoft Fabric Staging and Production environments 
Option C - Cross-cloud active-active DR solution for MuleSoft Fabric Staging and Production environments 
h3. *Components Impacted* 
MuleSoft GCP 
h3. *Recommendation* 
h3. Option B - Cross-region cold standby DR solution for MuleSoft Fabric Staging and Production environments 
Immediate Next Steps 
* Create high-level design and estimate for next years budget</t>
  </si>
  <si>
    <t>EA-1018</t>
  </si>
  <si>
    <t>Virtual MMD As Built Blueprint</t>
  </si>
  <si>
    <t>Updates to [EA-906 Corporate Virtual Workspaces Blueprint - Level 2.docx|https://446346262425.sharepoint.com/:w:/r/sites/IGMTransformation/_layouts/15/Doc.aspx?sourcedoc=%7BCB1CB48C-A74A-4E82-B4E5-7CEBAAB1C754%7D&amp;file=EA-906%20Corporate%20Virtual%20Workspaces%20Blueprint%20-%20Level%202.docx&amp;action=default&amp;mobileredirect=true&amp;cid=598ac85d-84c9-47db-a9ff-f405eccc7259] to itemize out persona requirements for specific use cases etc. 
Three main offerings for IGM managed virtual workspaces: 
# Citrix based Virtual Desktop Image (VDI) :  set up a virtual desktop customized for the needs of a specific use case not achievable via the standard IGM image.   Access via  [https://igmfinancial.cloud.com/Citrix/StoreWeb/] 
# Citrix based Virtual Apps:  access individual applications required for specific use cases which IGM Corporate image cannot support but that do not require an entire desktop image.  Access via  [https://igmfinancial.cloud.com/Citrix/StoreWeb/] 
# Windows 365 hosted -&gt;  Virtual MMD providing remote access to IGM corporate image without an IGM provided hardware - main use case is third party vendor, augmented staffing.  Could also support rapid onboarding of regular staff if hardware is delayed,    
 </t>
  </si>
  <si>
    <t>EA-1017</t>
  </si>
  <si>
    <t>ADR: Audience Builder vs Customer Data Platform</t>
  </si>
  <si>
    <t>AB is being retired, Salesforce now pushing CDP as the target migration path.</t>
  </si>
  <si>
    <t>EA-1015</t>
  </si>
  <si>
    <t>POV 017 - Service CRM Historic Case Migration for CCM Target State</t>
  </si>
  <si>
    <t>The Salesforce Org Merge from Service CRM to IG FSC is proceeding as a dependency for the Contact Center Modernization as this will bring together the agent desktop with integrated capability. 
The term data migration applies to historic case management and does not refer to the tombstone information ( Advisor details) 
Problem Statement: 
Historic Case information will be created until the case management capability is migrated to the the FSC cloud. 
Problem 1: Is there a requirement to migrate all of the historic data to the FSC Cloud or can we simply store the historic data for reference purposes? 
Problem 2: If the decision to retain the historic case information is yes, then when do we need to merge the data into the  FSC cloud?</t>
  </si>
  <si>
    <t>Salesforce Platform 2022</t>
  </si>
  <si>
    <t>EA-1011</t>
  </si>
  <si>
    <t>Hello For Business Impact on RightFax</t>
  </si>
  <si>
    <t>If a user logs in with hello for business, the Kerberos ticket that is created doesn’t work for applications that depend on it.  If those same users login with their password they are fine.  
There are two options: Wait for hello for business to work, or disable hello for business for the users requiring RightFax.  
Linked to EA-1010 for resolution.</t>
  </si>
  <si>
    <t>EA-1008</t>
  </si>
  <si>
    <t>ROR calculation using historical data</t>
  </si>
  <si>
    <t>The historical data conversion of the RBC accounts. Option #1. Balance forward conversion to SAS, then convert RBC history into the ROR engine. Option #2. History conversion to SAS, then convert SAS history into the ROR engine. 
 </t>
  </si>
  <si>
    <t>Transfer Agency</t>
  </si>
  <si>
    <t>EA-1004</t>
  </si>
  <si>
    <t>ADR Service Now Discovery - Strategy</t>
  </si>
  <si>
    <t>Infrastructure discovery  - Confirm strategy and roadmap for implementing Discovery for Service Now. 
Problem Statement 
*Define a secure efficient method of establishing discovery of IGM Infrastructure CI details into the the CMDB in order to move forward the maturity of the CMDB and unlock ROI from the Service Now tool to support Change Management, Incident Management, Problem Management, IT Risk Management, Solution Architecture documentation and Enterprise Architecture Strategic planning.* 
Options 
Option A - Custom Integrations with Observability and Cloud Orchestration tooling 
Option B - Implementation of Service Now MID Server(s) 
Recommendation 
 </t>
  </si>
  <si>
    <t>EA-1002</t>
  </si>
  <si>
    <t>Discovery Blueprint CIAM</t>
  </si>
  <si>
    <t>Discovery Blueprint CIAM 
Replacing RSA Cleartrust 
ISAM 
* Salesforce Experience Cloud (Community Cloud) with Salesforce Identities as target state</t>
  </si>
  <si>
    <t>EA-1000</t>
  </si>
  <si>
    <t>PoV - Works Design</t>
  </si>
  <si>
    <t>WorksDesign is an external company specializing in “crafting compelling messages and breakthrough communications that connect with people across a range of media.”  IGM is looking at extending MSA with WorksDesign to other business units.</t>
  </si>
  <si>
    <t>EA-998</t>
  </si>
  <si>
    <t>PoV - Foreign Office Network &amp; International Computing Strategy</t>
  </si>
  <si>
    <t>Requested by Allen</t>
  </si>
  <si>
    <t>EA-996</t>
  </si>
  <si>
    <t>Vendor Assessment - New Technology Intake Assessment for Energy Advantage - Goby</t>
  </si>
  <si>
    <t>  
RITM Number: RITM0049249 
Requested By: Louis Ho 
Requested For: Michael Lu 
Department: 7314 - CORPORATE SOLUTIONS TECHNOLOGY 
Business Area: Corporate 
Description: New Technology Intake Assessment for Energy Advantage</t>
  </si>
  <si>
    <t>EA-994</t>
  </si>
  <si>
    <t>PoV - Energy Advantage</t>
  </si>
  <si>
    <t>* Corporate Sustainability team uses a third-party company Energy Advantage for IGM’s utility usage and expense data 
* Corporate Sustainability logins in to Energy Advantage online portal and look up IGM’s data in real time and run different reports in the application Goby</t>
  </si>
  <si>
    <t>EA-993</t>
  </si>
  <si>
    <t>PoV - Use of OneTime Password - Tactical</t>
  </si>
  <si>
    <t>Ahmed, Felwa [X]</t>
  </si>
  <si>
    <t>kemcguir</t>
  </si>
  <si>
    <t>EA-986</t>
  </si>
  <si>
    <t>CDS Multi Factor authentication method for IG access to CDS</t>
  </si>
  <si>
    <t>CDS is implementing multi-factor authentication for external access to the CDS screens.  This ADR will outline the CDS options which include: 
# Google Titan Security Key (Hard-token on a device that must be inserted into a USB port on the computer) 
# Google Authenticator app (Soft-token) (for some reason we don’t seem to be considering at this option) 
# Okta Verify app (Soft-token) (this is an app the users installs on a cell phone similar to MS authenticator) 
We would have to perform a test on an MMD to verify if the Google Titan Security Key option will work (see email below). 
We have 26 named business users with CDS user IDs. I'm not sure if all of them will be using the application or not. We also have 5 named QA staff that require access to the test environments.  
 </t>
  </si>
  <si>
    <t>Dealer Platform</t>
  </si>
  <si>
    <t>EA-982</t>
  </si>
  <si>
    <t>ADR - IGM Access to Canada Life Application</t>
  </si>
  <si>
    <t>IGM Access to Canada Life Applications</t>
  </si>
  <si>
    <t>EA-976</t>
  </si>
  <si>
    <t>Trusted Email from External Sender</t>
  </si>
  <si>
    <t>Time sensitive email sent from IGM SaaS application requiring action being ignored. 
Current state - email from external sender (SaaS application used by IGM) are filtered and are ignored: 
* Email dropped in Other Folder (instead of Focused Folder) 
* Email subject line prefixed with [EXT] indicating email is from external sender 
* Email sender name may appear to come from @igmfinancial.com (to indicate that this is company email) 
* IGM employee are trained to handle [EXT] email with care and due diligence especially when email comes from @igmfinancial.com marked as [EXT]</t>
  </si>
  <si>
    <t>EA-969</t>
  </si>
  <si>
    <t>POV - Entitlement Management Requirements for IGM</t>
  </si>
  <si>
    <t># Description: Define a matrix of roles, entitlements, and access levels which are applicable in all environments (by standardizing on name &amp; tags). These roles should have clear mappings to the target environments where they are used, be compliant with the IAM Standard by definition and generally provide a presentable usable set of guidelines for security control application. 
# Content to include some form of disposition loosely based on the following: 
Cloud access model to support multi cloud environment including 3rd party access 
# How: Create cloud access configuration documentation that is enforceable and auditable 
# Tabular matrix 
# Create tech design to support 
# WHAT we are defining: Subset of a principle with more definition 
# Ie RACi alignment 
# Ie. Basic, custom, predefined 
# Ie. Role definition - Standardized across clouds</t>
  </si>
  <si>
    <t>EA-968</t>
  </si>
  <si>
    <t>Citrix ShareFile Storage Endpoint</t>
  </si>
  <si>
    <t>Options and a decision need to be provided for the endpoint storage hosting IGM published files. Several solutions are available with varying options of data protection, data locality, etc. which need to be researched and opinion opined.</t>
  </si>
  <si>
    <t>EA-966</t>
  </si>
  <si>
    <t>Contact Center Telephony</t>
  </si>
  <si>
    <t>EA-964</t>
  </si>
  <si>
    <t>PoV Data retention (patterns post decommission)</t>
  </si>
  <si>
    <t>As systems are considered for decommission, data retention requirements are brought forward as a pre-requisite to decommission the system and purge the application data.  The high-level data retention requirements are started as follows: 
# Legal requirement to retain data for at least 7 years 
# Audit requirement to retain data 12-18 months 
The requirements are not specific on which data needs to be kept, which leaves this to interpretation by the project. 
*Context and Background Summary:* 
In 2022, the following systems are being assessed for decommission Symphony, Winfund, RClass (GIC’s) and ISL   All of these systems are facing similar data retention requirements.  The following POV proposes a holistic solution to data retention requirements removing the “interpretation”. 
*Proposal:* 
Within IG’s corporate system context for IG Wealth products, there are the following core data/information concepts: 
# +Client Statements+ – meets client regulatory obligations for account balances, transactions, and regulatory messaging. 
# +Transaction Confirms+ – meets client regulatory obligations for notification &amp; confirmation of financial transactions 
# +Tax documents+ – meets tax obligations specific to the products and accounts 
# +Financial Transactions+ – Under pinning data construct supporting the above 3 regulatory documents 
 ** </t>
  </si>
  <si>
    <t>Enterprise Data Platform</t>
  </si>
  <si>
    <t>EA-959</t>
  </si>
  <si>
    <t>RingCentral level 3 blueprint</t>
  </si>
  <si>
    <t>Details TBD</t>
  </si>
  <si>
    <t>EA-955</t>
  </si>
  <si>
    <t>PoV - Structure around Teams App Integration with other IGM Services</t>
  </si>
  <si>
    <t>h3. Context 
Problem Statement:  
Requests for Teams App integration are increasing as adoption increases.  The is no desire from IGM leadership for the Teams app to be full of integrations that are nothing more than access points.  
* Integrations between the Teams app and other services need to have strategic purposes and add value.   
* The type of data, the risk profiles of the vendors involved, and the strategic value of the integrations involved all vary significantly from request to request 
* Often the technical resources best placed to evaluate a given integration or addition are associated are split between the application team for the 'other' IGM Service' and the MS Teams service 
Next Steps: 
# Work with Microsoft to establish a framework for categorizing MS Teams Apps to support IGM Application delivery teams in evaluating individual requests as quickly and efficiently as possible.   
# Establish MS Teams App change management protocol (does each app need a CI ?, does need an approved Blueprint or ADR)  
 </t>
  </si>
  <si>
    <t>MS Teams 2022</t>
  </si>
  <si>
    <t>EA-953</t>
  </si>
  <si>
    <t>ADR - LMS Access for Corporate Consultant</t>
  </si>
  <si>
    <t>How Corporate Consultants SSO to LMS will change as Corporate Consultant will have 2 identification numbers. </t>
  </si>
  <si>
    <t>EA-949</t>
  </si>
  <si>
    <t>Colliers Level 3 Blueprint</t>
  </si>
  <si>
    <t>*+PROJECT or PROGRAM STAGE:+* 
Colliers Global Occupier Services will provide transaction and leasing management services to IGM.  IGM real estate team will use Colliers technology tool, Colliers360 and WORKTRAC, which is a Cloud application to manage IGM real estate portfolio and provide data analytics. 
 **  
{*}Problem Statement{*}: 
IGM Real Estate team was looking for a managed service provider, for business reason, to replace the current service provided by Cushman &amp; Wakefield.  IGM was looking for a partner to provide global, integrated, end-to-end portfolio strategy and management with coordinated local execution.  Colliers is selected to provide transaction and leasing management services to IGM. IGM real estate team will use Colliers technology tool, Colliers360 and WorkTrac, a cloud application, to manage IGM real estate portfolio and provide data analytics.  
* Proactive portfolio management – portfolio optimization of space, costs, and T&amp;Cs, leading to approx. 10% to 15% ($3 - $5MM) on aggregate in annual operating costs savings over time* 
* Industry aligned target operating model for IGM real estate 
* Outsourced partners provide key services to create a competitive advantage through shared risks and rewards 
* Position our employees from routine / low value-add tasks to high value-add services *++* g. lease management to asset management 
* Provides ability to scale up and down *++* to successfully meet lease transaction volumes and demands without adding incremental headcount 
* Harness technology to provide advanced analytics to drive business decisions *++* to move IGM’s portfolio forward 
{*}Context and Background Summary{*}: 
Colliers360 with the module WorkTrac will provide the following services: 
* Document &amp; Database Management (Lease Abstraction, Legal Review) 
* Financial Management (Lease Payment) 
* Operating Expense Audits 
* Reporting &amp; KPIs 
* Rent Presentation 
Existing finance integration between Big Rent and SAP ECC will be replaced by new integration with Colliers360 
IGM real estate team, finance team and legal team will access Colliers360 with SSO using Azure AD B2B Connect</t>
  </si>
  <si>
    <t>EA-946</t>
  </si>
  <si>
    <t>Teams Rooms Integration to ServiceNow</t>
  </si>
  <si>
    <t>EA-940</t>
  </si>
  <si>
    <t>ADR - External Vendor access to PII data in prod</t>
  </si>
  <si>
    <t>Business plans on engaging WSA as implementation partner for employee Qualtrics survey in June.  IT Risk identified WSA access to PII data in prod as a risk. This ADR is to look at the options to mitigate the risk and recommend a solution.   As of now, we are not aware of a principle on this topic.  </t>
  </si>
  <si>
    <t>EA-936</t>
  </si>
  <si>
    <t>WMS Blueprint Level 2 Review</t>
  </si>
  <si>
    <t>WMS project blueprint level 2 requires review and approval. 
Level 2 Blueprint Document: [IGM FMS Blueprint - Level 2.docx|https://446346262425.sharepoint.com/:w:/r/sites/ProjectWebApp/Workplace%20Reservation%20System/Shared%20Documents/5.%20Technology/01%20-%20Architecture/Level%202/IGM%20FMS%20Blueprint%20-%20Level%202.docx?d=w7c2bf0cf309b4544b1f45ca7a1622354&amp;csf=1&amp;web=1&amp;e=ktBHeS] 
 </t>
  </si>
  <si>
    <t>EA-935</t>
  </si>
  <si>
    <t>WMS HR Data ADR Review</t>
  </si>
  <si>
    <t>WMS project has ADR that require approval from EA. 
WMS HR Data Feed ADR: [IGM WMS HR Data Feed ADR - v2.docx|https://446346262425.sharepoint.com/:w:/r/sites/ProjectWebApp/Workplace%20Reservation%20System/Shared%20Documents/5.%20Technology/01%20-%20Architecture/Level%202/IGM%20WMS%20HR%20Data%20Feed%20ADR%20-%20v2.docx?d=wbdf9dd4b936444e98a65be9cdd58fb02&amp;csf=1&amp;web=1&amp;e=YkWmSH]</t>
  </si>
  <si>
    <t>EA-934</t>
  </si>
  <si>
    <t>WMS Mobile App ADR Review</t>
  </si>
  <si>
    <t>WMS project has ADR that require approval from EA. 
WMS Mobile App ADR: [IGM WMS Mobile ADR - v2.docx|https://446346262425.sharepoint.com/:w:/r/sites/ProjectWebApp/Workplace%20Reservation%20System/Shared%20Documents/5.%20Technology/01%20-%20Architecture/Level%202/IGM%20WMS%20Mobile%20ADR%20-%20v2.docx?d=w2b03a614dc2646e08f9fd62359087b62&amp;csf=1&amp;web=1&amp;e=dOsQFJ]</t>
  </si>
  <si>
    <t>EA-933</t>
  </si>
  <si>
    <t>MMD - External Hard Disk Use Case</t>
  </si>
  <si>
    <t>* Finance Reporting team current use Remote Desktop to access an external hard disk connected to a local PC at Winnipeg HQ 
* Using Excel and Access database on the local PC to support the following process: 
* Upload insurance policy records from multiple insurance providers (such as Manulife, SunLife, Canada Life etc) to an Access database in order to post Insurance revenue entries to the GL, perform internal analysis and reporting 
* Run Excel macro to reformat a file received from MPower through MOVEit for GIF profit sharing calculation 
* Upload GIF assets to Access database for internal analysis and reporting 
* Data classification contains PII 
* Output files are extracted from Access database to network shared drives for distribution 
* Output file is extracted and uploaded to SAP GL using GLSU 
* Files are downloaded from network drive and saved to the external drive to run the process 
* PowerPoints are generated monthly and semi-annually from Excel macro for report distribution 
External hard disk USB connection to PC will not be supported in MMD device</t>
  </si>
  <si>
    <t>EA-932</t>
  </si>
  <si>
    <t>PoV - Habanero CEA</t>
  </si>
  <si>
    <t>Business Requirement to integrate Mackenzie Exchange Intranet with Habanero Content Engagement Analytics (CEA) to track cumulative engagement of site activities</t>
  </si>
  <si>
    <t>EA-931</t>
  </si>
  <si>
    <t>Blueprint - Teams integration with HCM applications</t>
  </si>
  <si>
    <t>Business requirements: 
1) SuccessFactors LMS instructor led training with Microsoft Teams 
2) Lifeworks integration with MicroSoft Teams</t>
  </si>
  <si>
    <t>EA-930</t>
  </si>
  <si>
    <t>PoV - Procurement Intake Process Automation</t>
  </si>
  <si>
    <t>Streamline the current manual process in Procurement Intake with Process Automation Workflow</t>
  </si>
  <si>
    <t>EA-923</t>
  </si>
  <si>
    <t>Enhance SAS SOI file and get rid of 10 legacy SAS TRECS file</t>
  </si>
  <si>
    <t>By enhancing SAS SOI file and populate customer bank information for EFT transactions, we do not need ask SAS to generate 10 legacy files in its IG instance. In the future we can also eliminate these 10 legacy files in Mackenzie Trust Accounting</t>
  </si>
  <si>
    <t>EA-922</t>
  </si>
  <si>
    <t>MMS design options</t>
  </si>
  <si>
    <t>A decision has been made by Project Steering Committee that MMS will continue be used in target IG Trust Accounting architecture to settle with CIBC Mellon and transfer funds within BMO IGM accounts automatically. This DR is to decide where to generate money movement instructions.  
Option 1: Generate MMS instructions in ETL 
Option 2: Generate MMS instructions in SAP ECC GL</t>
  </si>
  <si>
    <t>EA-921</t>
  </si>
  <si>
    <t>IG Trust Accounting Modernization - RBroker ADN Transaction Reconcile Options</t>
  </si>
  <si>
    <t>This ADR request the decision on whether RBroker detail transactions will be loaded into Frontier so that IG Trust Accounting can perform transaction level match/reconciliation like what Mackenzie Trust Accounting is doing or not.</t>
  </si>
  <si>
    <t>EA-916</t>
  </si>
  <si>
    <t>Client Name in R*Broker - RDSP, IGIS GIF &amp; GWL SEG</t>
  </si>
  <si>
    <t>This Jira is to track the creation and approval of the project blue print for the Client Name to RBroker project.</t>
  </si>
  <si>
    <t>EA-911</t>
  </si>
  <si>
    <t>IG Dealer Reporting Strategy</t>
  </si>
  <si>
    <t>Link to Corporate Jira to provide visibility to Grahame.</t>
  </si>
  <si>
    <t>EA-910</t>
  </si>
  <si>
    <t>ADR - IGM Access to IGM Call Center Server Infrastructure in the Canada Life Network</t>
  </si>
  <si>
    <t>IGM is requesting direct access from their unmanaged endpoints and cloud hosts to a small number of subnets in the IGM Tenant and one subnet in the IPC Head Office Computer Room following the same patterns previously agreed for the IGM Tenant within WDC but with no network address translation.   Access from the IGM network to these  subnets would be via the existing TR2 Equinix connection.</t>
  </si>
  <si>
    <t>EA-907</t>
  </si>
  <si>
    <t>PoV Atlassian SaaS vs DataCenter Placement</t>
  </si>
  <si>
    <t>h4. Problem Statement: 
Jira and Confluence are currently hosted in the WDC under perpetual licenses under maintenance.  These 'server'  licenses will no longer be supported as of 2024.  Atlassian is offering two options going forward.  A full SaaS version of these tools branded "Cloud" which is fully managed by the vendor and linked to our identity access via a third SaaS offering called Atlassian Access, or a self hosted offering branded "Data Center" which has an annual subscription and can be installed in the private cloud. The timeline for moving away from the "server"  branded Atlassian tools matches with the Divestiture program and need to exit the WDC.  There is additional delivery team desire to move more quickly to settle into target state as doing so will better support delivery teams in completing the work required for remaining migrations since these tools are the collaborative tools delivery teams use on a daily basis. 
h4. Options:    
* 1a - Atlassian SaaS offering hosted in AWS - US Residency 
* 1b - Atlassian SaaS offering hosted in AWS - European Residency 
* 1c - Atlassian SaaS Offering hosted in AWS - Canadian Residency →  not currently available, preferred strategic option  
 These have the same architecture the only difference being the timing of implementation and the location of residency. Leveraging Atlassian Access to connect to Azure AD for SSO and RBAC.  Selecting European Residency over US provides risk mitigation due to GDPR.   
* 2 - Hosting Atlassian Data Centre offering in IGM's Azure Private Cloud with an annual license depending on Operations Support to maintain 
* 3 - Continue hosting in WDC with existing perpetual licenses (without maintenance)  →  not considered as security gaps would not be an Acceptable Risk 
h3. Recommendation 
Recommend Option 1b migrate to Jira Cloud and Confluence Cloud SaaS hosted in AWS with currently available European residency.  
* include integration with Service Now (data resident in Canada) and SharePoint (data resident in Canada) to support processes that may involve PII Data  
** migration of processes involving PII to Service Now is already planned for the very small number of existing Jira records that contain PII data 
* adjust add-on list to align to updated processes.  
Rational 
Atlassian offering for Jira Cloud and Confluence Cloud SaaS architecture supports information handling for collaboration at the Internal and Confidential Normal classification levels.  Selecting this migration path will allow for Jira and Confluence use to be focused on agile use cases that depend on enabling open communication and linking between projects without compromising other use cases where higher levels of confidentiality are required,    
Next Steps 
* Analyze content in Jira and confluence and identify any Confidential High, or Restricted content or processes that needs to be migrated to Service Now (Jira workflow) and SharePoint (Confluence documentation storage etc) - update requirements accordingly 
* Prioritize implementation of proper Information Handling support for Confidential High and Restricted Information use cases and related operationalization of Service Now and SharePoint including Organizational Change Management - training on best practices etc.  →  this is a pre-requisite for migrating Jira and Confluence out of WDC. 
* Document detailed design for Migration including identified add on and integrations that support updated requirements 
14 Jun 2022 Reviewed with ARB - Investigating availability of migration to Europe soon as rather than staying with current US residency. 
02 Aug 2022 Migration to Europe is complete for Jira and Confluence; have confirmation that the number of active records involving PII is very small and the related process will move to Service Now</t>
  </si>
  <si>
    <t>EA-904</t>
  </si>
  <si>
    <t>AD Separation Blueprint</t>
  </si>
  <si>
    <t>The goal of this document is to summarize the big of the Active Directory split.</t>
  </si>
  <si>
    <t>EA-902</t>
  </si>
  <si>
    <t>IM Fixed Income Team - Cloud Placement</t>
  </si>
  <si>
    <t>POV to capture the cloud placement recommendation for the Investment Management Fixed Income Team, based on the applications and processes they execute using MS Excel and high powered non-MMD desktop computers in current state,</t>
  </si>
  <si>
    <t>EA-897</t>
  </si>
  <si>
    <t>PoC Summary - OAuth2.0 Enablement for Mule API - new Pattern</t>
  </si>
  <si>
    <t>PoC to establish new Pattern to be added. 
To be added </t>
  </si>
  <si>
    <t>EA-896</t>
  </si>
  <si>
    <t>PoV - SmartSimiple</t>
  </si>
  <si>
    <t>Sponsorship &amp; Community Engagement (S&amp;CE) currently uses a 3rd party tool, SmartSimple, to manage grant requests 
* Business currently has a manual process of entering employee and consultant information into SmartSimple. With limited resource available in S&amp;CE, the manual process puts a constraint on extending the donation application to a larger population 
* Business requirement is to replace the manual input process with integration of SmartSimple with HR master data source systems (such as SuccessFactors, SIS) of eligible groups (Employees, Consultants, Associates and Assistants). This will allow automation of update into SmartSimple regularly</t>
  </si>
  <si>
    <t>EA-895</t>
  </si>
  <si>
    <t>G&amp;E - Compensation for Corporate Consultants</t>
  </si>
  <si>
    <t>Blue print doc will cover off all changes for G&amp;E as they relate to corporate systems and compensation.  May be extended to include LMS/Training. 
This will be a co-authored blueprint with Craig Woodward and Louis Ho as primaries. 
[IGWM G&amp;E 2022 Corporate Systems Blueprint.docx (sharepoint.com)|https://446346262425.sharepoint.com/:w:/r/sites/comp_spm/_layouts/15/Doc.aspx?sourcedoc=%7BF3B42A94-63EC-4194-8E50-377E54334384%7D&amp;file=IGWM%20G%26E%202022%20Corporate%20Systems%20Blueprint.docx&amp;action=default&amp;mobileredirect=true]</t>
  </si>
  <si>
    <t>Consultant Admin</t>
  </si>
  <si>
    <t>EA-893</t>
  </si>
  <si>
    <t>Blueprint Rightfax in Azure - Discovery</t>
  </si>
  <si>
    <t>Migration of Rightfax to Azure in support of MMD. 
First Level (or second level) draft and review</t>
  </si>
  <si>
    <t>EA-892</t>
  </si>
  <si>
    <t>IGM Image Hello for Business Configuration</t>
  </si>
  <si>
    <t>An incident has identified a reproduceable popup on the Microsoft Managed Desktop where users are continuously reminded to lock the workstations and login with a password. This occurs only with the use of PIN or facial recognition options. The incident response team and Microsoft have identified the Hello for Business application is not correctly deployed and causing a validation error during the screen unlock process. </t>
  </si>
  <si>
    <t>EA-890</t>
  </si>
  <si>
    <t>ADR - FX Hedgebook project production database solution</t>
  </si>
  <si>
    <t>We are migrating the FX Hedgebook database (SQL Server) from WDC to GCP. Attached is the ADR about the database design on GCP – single instance SQL vs HA solution. I submit this ADR for the EA review. 
This ADR focuses on the target state of the production database from the project requirement perspective. The infrastructure team will provide a detailed implementation design for discussion separately. 
Some highlights here for your convenience. 
 The database is hosted on our production Datamart SQL server as a temporary solution, which is not a HA environment 
* FX Hedgebook project has been deemed a critical application by the business and needs a HA database to fulfill business requirements. 
* The ADR recommend migrating to a HA SQL database environment on GCP</t>
  </si>
  <si>
    <t>EA-888</t>
  </si>
  <si>
    <t>POV - Iron Mountain</t>
  </si>
  <si>
    <t>POV to identify the current state of integration with Iron Mountain for secure physical document management based on upcoming contract renewal.</t>
  </si>
  <si>
    <t>EA-884</t>
  </si>
  <si>
    <t>IGM DNS and NTP Services in CL Network Post Segregation</t>
  </si>
  <si>
    <t>Architecture for providing DNS and NTP services in IGM network segments within the Canada Life network after segration of the IGM from the greater Canada Life network.</t>
  </si>
  <si>
    <t>EA-869</t>
  </si>
  <si>
    <t>AD Groups for Varicent SPM - Corp Comm</t>
  </si>
  <si>
    <t>As per ADR [EA-831|https://jira.igm.tools/projects/EA/issues/EA-831], Federated Access is recommended to be implemented for Varicent to have Authorization Access Control by AD Groups.  As a result, the current AD Group design (Nested Group) has introduced complexity and additional effort in future maintenance.  This ADR is to recommend a solution to simplify the Nested AD Group Structure. </t>
  </si>
  <si>
    <t>EA-862</t>
  </si>
  <si>
    <t>PoV - FLE requirement for IG Marketing Cloud</t>
  </si>
  <si>
    <t>POV on whether field-level encryption is necessary for IG's Marketing Cloud account</t>
  </si>
  <si>
    <t>EA-857</t>
  </si>
  <si>
    <t>PoV SaaS Vendor Engagement Template</t>
  </si>
  <si>
    <t>PoV for a template we can use when engaging with an SaaS vendor. 
There is currently a questionnaire / documentation from risk, security etc. but we want to have a set list of the various components that we should focus on. 
This way we will have a ‘crisp’ ask when we talk to the vendors.</t>
  </si>
  <si>
    <t>Practice</t>
  </si>
  <si>
    <t>EA-850</t>
  </si>
  <si>
    <t>Lead capture from public websites for email marketing</t>
  </si>
  <si>
    <t>IG wants to be able to capture leads from the public website for the purpose of email marketing. 
Need to consider: 
* CASL consent capture and management (preference center) 
* Integration with CRM 
*</t>
  </si>
  <si>
    <t>EA-848</t>
  </si>
  <si>
    <t>Adobe Enterprise SSO Federation Blueprint</t>
  </si>
  <si>
    <t>*PROJECT or PROGRAM STAGE:*  
This project would fall in under the overall repatriation of services, licensing and end user software management from Canada Life.  
The Adobe software management console is currently in use today however configured with an AdobeID configuration. This solution is proposing changing this model to a federated SSO model with IGM’s Active Directory. In essence, IGM are repatriating Adobe’s ID to IGM managed ID’s.  
*Context*  
*Problem Statement:*  
IGM want to be in control of user onboarding and offboarding to the Adobe Enterprise management system.  
*Context and Background Summary:*  
As we move forward with renewals of existing license agreements, IGM are taking the opportunity to simplify software licenses management and use available vendor provisioning tools available at our licensing echelon. Our agreement with Adobe is one such opportunity where we can federate our enterprise Active Directory with Adobe to provide SSO integration and license management. </t>
  </si>
  <si>
    <t>EA-846</t>
  </si>
  <si>
    <t>PoV Infrastructure as Code Tooling</t>
  </si>
  <si>
    <t>Infrastructure as Code and the selection Hashicorp Terraform 
A brief review of how the tool will be used and secured</t>
  </si>
  <si>
    <t>EA-841</t>
  </si>
  <si>
    <t>Discovery Blueprint - DisclosureWise</t>
  </si>
  <si>
    <t>The Australian Securities and Investments Commission (ASIC) requires covered short positions to be disclosed to ASIC on each day that the position is held, unless a position is valued at less than or equal to $100,000 and is of a size less than or equal to 0.01% of the product's total quoted securities. Mackenzie Compliance Team was previously using built-in functionality on Bloomberg to submit daily positions disclosures as required, however as of October 1, 2021 the functionality has been discontinued by Bloomberg. Compliance has sourced a new third party vendor, DisclosureWise that has been approved to ASIC as a provider to transmit short position data through required method of Financial Information eXchange (FIX) protocol message system. While approval and due diligence is being conducted on the vendor, Mackenzie Portfolio Managers are currently being restricted from crossing the short position thresholds to remain with regulatory limits which may limit investment strategy flexibility</t>
  </si>
  <si>
    <t>EA-840</t>
  </si>
  <si>
    <t>ADR - Securing CICS API Calls (IGM ETA ADR)</t>
  </si>
  <si>
    <t>Applications running off the mainframe make unauthenticated CICS API calls using a non-encrypted TCP/IP Socket connection. We require an encrypted solution with authentication.</t>
  </si>
  <si>
    <t>EA-833</t>
  </si>
  <si>
    <t>CEA013b Filenet Trex and Datacap WDC Exit Migration Roadmap</t>
  </si>
  <si>
    <t>*Context* 
* Trex is the IGM proprietary workflow system that supports management and fulfillment of various financial and non-financial requests to SAS TA on behalf of the clients of Investors Group (IG) and Mackenzie Financials (MFC). 
* FileNet is the Book Of Record Document Management system of IGM that electronic storage and management of various types of customers documents 
* Datacap is the system that ingests and indexing documents/images through scanner, fax, and email into Document Management System (FileNet) 
* Trex, especially FileNet and Datacap will be important systems in IGM and continue to live long in foreseeable future although traffic to Trex is getting less due to IG migration to RBroker. 
*Problem* 
* Trex, FileNet, and Datacap have been recently classified as 24 x 7 critical systems but have no HA (high availability) and DR (Disaster Recovery) capabilities. Any one of servers goes down will cause outage of certain business functions. 
* EMC Centera which is a disk based file storage that used to store documents and images has reached the End of Service Life back in 2014. An alternate solution has to be implemented to replace it and move documents and images there as soon as possible. 
* Trex and FileNet are running on AIX servers hosted in WDC. Per enterprise strategic direction 
* AIX footprint needs be reduced 
* Servers need to be moved out of WDC data center 
* Java Applet based Daeja Viewer is used within Trex web application to retrieve and view pdf and image documents stored in FileNet. It is problematic on JRE runtime version management and potential security concerns on old version JRE. 
Recommendation 
*Option 3 – New Architecture with Latest Technologies on Azure Cloud* 
 </t>
  </si>
  <si>
    <t>Li, Bob [X]</t>
  </si>
  <si>
    <t>Other Data and Analytics Services</t>
  </si>
  <si>
    <t>EA-831</t>
  </si>
  <si>
    <t>Varicent SPM Authorization Access Control - RBP in application vs AD Groups</t>
  </si>
  <si>
    <t>Varicent SPM is a cloud based application for Corporate Commission.  Within Varicent, Role based permission can be assigned by defining Portal Access Group with user assigned.  This ADR is for a decision whether additional security is required to tie the Portal Access Group to AD Groups with federated access.  Federated access will pass the control to AD Groups to determine which Portal Access Group will be used, user will no longer need to be assigned to Portal Access Group directly in Varicent.</t>
  </si>
  <si>
    <t>EA-811</t>
  </si>
  <si>
    <t>Employee access to Qualtrics Survey with One-Click link</t>
  </si>
  <si>
    <t>SSO will not be applied to employee Engagement Survey and Pulse Survey to allow ease of use that employee can do survey with their personal mobile device</t>
  </si>
  <si>
    <t>EA-809</t>
  </si>
  <si>
    <t>RITM0030719 - New Technology or Solution Review (Colliers)</t>
  </si>
  <si>
    <t>RITM Number: RITM0030719 
Requested By: Louis Ho 
Requested For: Graeme Wyant 
Department: 7314 - CORPORATE SOLUTIONS TECHNOLOGY 
Business Area: Corporate 
Description: Technology intake assessment with Colliers for Lease Management by Real Estate team</t>
  </si>
  <si>
    <t>EA-806</t>
  </si>
  <si>
    <t>ADR - Qualtrics Mobile Web Access</t>
  </si>
  <si>
    <t>ADR to define how employee can complete survey via mobile web access</t>
  </si>
  <si>
    <t>EA-796</t>
  </si>
  <si>
    <t>Blue Prism in Azure Level 2 Blueprint</t>
  </si>
  <si>
    <t>Expand on POV to draft initial Blueprint for requirements to migrate Blue Prism implementation into IGM Azure tenant  
need to also include RACI for support model.  
Identify underlying infrastructure services required to support  RPA installed in Azure 
Note: urgency to schedule project due to need to move off of Win7 citrix machines.</t>
  </si>
  <si>
    <t>EA-793</t>
  </si>
  <si>
    <t>IGM Transfer Agency team is using SBM to manage its software development lifecycle</t>
  </si>
  <si>
    <t>EA-792</t>
  </si>
  <si>
    <t>Data Transfer to Qualtrics</t>
  </si>
  <si>
    <t>  
*+SHORT DESCRIPTION:+* 
* HR has selected Qualtrics, a cloud application, to conduct Employee Engagement and Pulse Survey. In order to allow ease of use, employee will be given mobile access to Qualtrics to perform employee survey. 
* 2 types of survey are in scope for phase 1. Engagement survey is conducted annually. Pulse survey is conducted quarterly. For every Engagement or Pulse survey, a project is setup. Lifecycle Survey will be in scope for Phase 2. Employee data are extracted from Employee Central, additional data layer is added to the extract by HR Admin team and the updated employee data is loaded as participants into the Qualtrics project. 
* To transfer data from Employee Central to Qualtrics for setting up participants in survey. HR Brand Administrator run a report in Employee Central, download the report in Excel, add data layer to Excel, export to CSV file and then upload to Qualtrics 
* There are several ways to upload the csv file to Qualtrics: 
** Upload to Qualtrics Library (used as a temporary repository) where CSV file needs to be downloaded from Qualtrics Library for ingestion into Survey Project. There is no direct ingestion from Qualtrics Library into Survey Project. This is not a secured method and is not considered in this ADR 
** Upload to Qualtrics Employee Directory where CSV file can be directly ingested into Survey Project. This is the method considered for this ADR.  
* This ADR is to evaluate the options to extract from Employee Central, add data layer and perform the final step of loading the employee into Employee Directory for ingestion into Qualtrics Survey securely 
*+Recommendation:+*     **     
*Option 1 - Data Transfer using SharePoint* 
* Reviewed and approved by IT Risk 
* Follow guiding principle of data transferred to internal network and consumed internally does not require encryption 
* Accepted by business to follow their practice of running reports in Employee Central and download to Excel</t>
  </si>
  <si>
    <t>EA-791</t>
  </si>
  <si>
    <t>Managed Solution Blueprint - Implementation check point</t>
  </si>
  <si>
    <t>technical go live is late 2021 with business go-live 4 weeks later 
IG Product users  </t>
  </si>
  <si>
    <t>EA-789</t>
  </si>
  <si>
    <t>CEA012 - POV App Migrations - SAP BW</t>
  </si>
  <si>
    <t>Identify any remaining components of SAP BW needing to be migrated... 
 Legacy Implementation to support Corporate Payroll and Finance - +others - there's been a POC to move to GCP so is a notional plan 
List from the detailed spreadsheet: 
|App ID|App CI ID|Account Manager|Application| 
|APP14071|APP14071|Ken Armstrong|Business Planning Consolidation for SAP AIX| 
|APP16522|APP16522|Ken Armstrong|Business Planning Consolidation for SAP Windows| 
|APP11273|APP11273|Ken Armstrong|CRM| 
|{Missing3}| | |SAP Analysis for Microsoft Excel| 
|{Missing4}| | |SAP BEX Analyzer| 
|APP11015|APP11015|Ken Armstrong|SAP Business Warehouse| 
|APP17335|APP17335|Ken Armstrong|SAP Business Warehouse on HANA| 
|APP11016|APP11016|Ken Armstrong|SAP BW Global Investment Performance Standards| 
|APP11109|APP11109|Ken Armstrong|SAP Crystal Reports| 
|APP16662|APP16662|Ken Armstrong|SAP Information Steward| 
|{Missing5}| |Ken Armstrong|SAP Query Designer| 
will need to check the latest SNAP CMDB</t>
  </si>
  <si>
    <t>Rietvelt, Bill</t>
  </si>
  <si>
    <t>EA-784</t>
  </si>
  <si>
    <t>CPI024 POV on Command Centre Strategy</t>
  </si>
  <si>
    <t>Strategy: IGM need to define the 3 horizon view on what our L1 support processes looks like for how we would enable a Single Pane of Glass / centralize view directions on how we want to operate in the cloud. Strategy needs to address functional requirements, service/integration design, intellectual property ownership, IGM management and accountability IGM accountability needs to address Staffing requirements: staff internally, staff internally with staff augmentation or use an external service provider. Preferred is to staff internally with augmentation if required ServiceNow - define criteria for third-party integration, define MVP for 3 horizon view.</t>
  </si>
  <si>
    <t>EA-782</t>
  </si>
  <si>
    <t>CPI023 - POV on B2B B2C Network Migration</t>
  </si>
  <si>
    <t>Define B2B B2C design solution and migration strategy</t>
  </si>
  <si>
    <t>EA-781</t>
  </si>
  <si>
    <t>CPI022 - Cloud ready Deployment Mechanisms - Deployment Pipeline</t>
  </si>
  <si>
    <t>Propose strategy and standards for Interrelated applications where they are deployed on multiple Cloud platforms / Non Cloud environments - Starting with one POV and will spawn additional if require</t>
  </si>
  <si>
    <t>EA-776</t>
  </si>
  <si>
    <t>T4 &amp; Payslip Printing on MMD Device</t>
  </si>
  <si>
    <t>MMD device will have tight restriction on what can be installed and connected to.  Printing to Non-Corporate printers (for example home printers) will be restricted.  It's a CRA requirement that employee are allowed digital access and print capability to T4s.  This printer restriction will impact employee experience with flex office policy. 
An ADR is required to explore options and recommendation.</t>
  </si>
  <si>
    <t>EA-775</t>
  </si>
  <si>
    <t>R9 Blueprint</t>
  </si>
  <si>
    <t>Placeholder for Process Automation R9 Blueprint update</t>
  </si>
  <si>
    <t>Buskens, Rob [X]</t>
  </si>
  <si>
    <t>EA-773</t>
  </si>
  <si>
    <t>High Risk Monitoring System</t>
  </si>
  <si>
    <t>TBD. Will find out more detail information asap</t>
  </si>
  <si>
    <t>EA-772</t>
  </si>
  <si>
    <t>Client Name Decommissioning Validation</t>
  </si>
  <si>
    <t>confirm the systems and components that can be decommissioned after all the IG CN accounts are migrated to Nominee. 
Will identify and confirm decommissioning of WDC components.  May identify outliers etc for actioning.</t>
  </si>
  <si>
    <t>EA-770</t>
  </si>
  <si>
    <t>IM, FS &amp; PA MMD Server-Side Dependencies</t>
  </si>
  <si>
    <t>Provide a current view of the connectivity required to the server-side applications used by IM, FS and PA business users.</t>
  </si>
  <si>
    <t>EA-769</t>
  </si>
  <si>
    <t>IM, FS, PA &amp; Product End User Computing</t>
  </si>
  <si>
    <t>Provide a current view of the applications managed by business users on their local machines (laptops/desktops/VMs).</t>
  </si>
  <si>
    <t>EA-768</t>
  </si>
  <si>
    <t>CEA008f - POV on migration Monarch and Synergy from WDC</t>
  </si>
  <si>
    <t>* *POV for Shareholder output repositories specifically Monarch (file based) &amp; Synergy (db based) &amp; +any file shares where data is getting dumped+* 
* Move to CMOD? 
* POV started. 
* Monarch is unsupported and should be retired with functions move to Synergy? 
* This one is going to be an issue with the move of file shares to SP, SP won’t solve this problem so custom solution for files will be required.</t>
  </si>
  <si>
    <t>EA-764</t>
  </si>
  <si>
    <t>CEA010e - POV Investment Management - PC Bond - migration from WDC</t>
  </si>
  <si>
    <t>|*SHORT DESCRIPTION:*  
*Problem Statement:*  Alternatives for CL Network &amp; TCR exit for the _PC-Bond_ application (also known as FTSE Bond Analytics v8).  
*Context and Background Summary:*  _PC-Bond_ application is utilized by Investment Management (Portfolio Managers &amp; Traders), and utilizes servers in the Toronto Computer Room (TCR)  
*Key Options Considered (where applicable):*  # Move the _PC-Bond_ application to the Azure Cloud  
# Migrate to the newer vendor Cloud service ({_}YieldBook{_})  
 | 
|*RECOMMENDATION:*     **       
A small amount of research &amp; analysis has been done on both options.  Based om this, and the following reasons, it is recommended that the Users migrate from their current on-prem. _PC-Bond_ application to the _YieldBook_ Cloud service.  * Users’ positive reactions/perceptions of the _YieldBook_ option (based on a demo)  
* Challenges migrating PC-Bond (Excel 32-bit, Broadcasts of _PC-Bond_ license key , FTP pull process into server in Azure, etc.)  
*Now, Next, and Later:*  
Now:  Continue research &amp; analysis of the _YieldBook_ option to confirm it is preferred and understand the costs of it and effort to implement.  
Next:  Plan to deliver the preferred option.  
Later:  Deliver preferred option.  
*IMMEDIATE NEXT STEPS*  
Free-up time or find IT resources to research &amp; analyze the _YieldBook_ in collaboration with the Business.  Obtain time from the Business Users is challenging.  
 |</t>
  </si>
  <si>
    <t>EA-760</t>
  </si>
  <si>
    <t>CEA004 - POV for MI Marketing Web Migration from WDC</t>
  </si>
  <si>
    <t>|Advisor &amp; Investor Access |</t>
  </si>
  <si>
    <t>Other Applications and Content Delivery Services</t>
  </si>
  <si>
    <t>EA-757</t>
  </si>
  <si>
    <t>CEA001 - POV for Java Web Apps and Services (Pathway, Tomcat,and MI) migration out of WDC</t>
  </si>
  <si>
    <t>POV for Pathway Web App migration out of WDC 
|Java-based web apps running on AIX &amp; WAS | 
|Java-based web services running on AIX &amp; WAS | 
|Legacy Windows and Tomcat apps |</t>
  </si>
  <si>
    <t>EA-749</t>
  </si>
  <si>
    <t>CEA008a - POV on migration of Transfer Agent components from WDC</t>
  </si>
  <si>
    <t>list of components to be defined, (link to related flienet trex, Ram's list) 
* AIX based, could move to IBM (M/F or with Trex)? 
* XMOE is real-time connectivity for Fundserv 
* Linux not an option, compuset not certified, and should be linked with Michigan TA project (i.e. not Linux, should be aligned to IBM).</t>
  </si>
  <si>
    <t>EA-746</t>
  </si>
  <si>
    <t>FileShare Replacement Strategy</t>
  </si>
  <si>
    <t>Architecture to address replacement for Fileshares managed in WDC and TCR</t>
  </si>
  <si>
    <t>EA-744</t>
  </si>
  <si>
    <t>Service Aligned (Physical) Workstations</t>
  </si>
  <si>
    <t>End User Compute - CL desktop equipment needs to be cut over to IGM network - what equipment do we need e.g. Check Scanner specified to IPC, may apply to other business functions, shared Bloomberg terminals (dedicated device shared by users in 180 Queen, 447 Portage) 
Current document artifact is here: 
https://446346262425.sharepoint.com/:p:/r/sites/IGMTransformation/Transformation%20Files/5%20Program%20Management/Architecture/Artifacts%20In%20Progress%20or%20Under%20Review/POV%20-%20Service%20Aligned%20(Physical)%20Workstations.pptx?d=w7b5da179c8794b41bc45cf33f05e7fe1&amp;csf=1&amp;web=1&amp;e=aM3KfG</t>
  </si>
  <si>
    <t>EA-740</t>
  </si>
  <si>
    <t>Zapier Integration with IGM environment</t>
  </si>
  <si>
    <t>RITM Number: RITM0027179 
Requested By: David Froese 
Requested For: Marina Zub 
Department: 1333 - SERVICE GOVERNANCE &amp; REPORTING 
Business Area: Marketing 
Description: Marina is wanting to integrate Zapier with IGM environment for Public Data Flow Zapier: [https://zapier.com|https://can01.safelinks.protection.outlook.com/?url=https%3A%2F%2Furldefense.com%2Fv3%2F__https%3A%2F%2Fzapier.com__%3B!!HMCOyEk!LB77AkX-0K6WwWRKUuoVIMVtJYKTuB6Ek4T9Rx5nnVGJJcc_NqrRMWzn7gkH7Zq1HAp_bNATwHhc-PYS%24&amp;data=04%7C01%7CIGMEnterpriseArchitecture%40igmfinancial.com%7C6f050358c86a4b1d9eeb08d95297b8b8%7Cdc411c631f524491bb51c4d215a1de23%7C0%7C0%7C637631634926146263%7CUnknown%7CTWFpbGZsb3d8eyJWIjoiMC4wLjAwMDAiLCJQIjoiV2luMzIiLCJBTiI6Ik1haWwiLCJXVCI6Mn0%3D%7C2000&amp;sdata=AiWJn7VoTnwrzUzv3IDqiAz6EiL%2FjETj%2FLwNaQQ9cMs%3D&amp;reserved=0] Data privacy and management docs: [https://zapier.com/help/account|https://can01.safelinks.protection.outlook.com/?url=https%3A%2F%2Furldefense.com%2Fv3%2F__https%3A%2F%2Fzapier.com%2Fhelp%2Faccount__%3B!!HMCOyEk!LB77AkX-0K6WwWRKUuoVIMVtJYKTuB6Ek4T9Rx5nnVGJJcc_NqrRMWzn7gkH7Zq1HAp_bNATwGbejQMN%24&amp;data=04%7C01%7CIGMEnterpriseArchitecture%40igmfinancial.com%7C6f050358c86a4b1d9eeb08d95297b8b8%7Cdc411c631f524491bb51c4d215a1de23%7C0%7C0%7C637631634926156258%7CUnknown%7CTWFpbGZsb3d8eyJWIjoiMC4wLjAwMDAiLCJQIjoiV2luMzIiLCJBTiI6Ik1haWwiLCJXVCI6Mn0%3D%7C2000&amp;sdata=C5cy5Ml%2FHW8n%2Fp%2BLSoyB2Aw%2BA%2FHPvDceEAc33oDT3Jc%3D&amp;reserved=0]</t>
  </si>
  <si>
    <t>End User Tools and Services 2022</t>
  </si>
  <si>
    <t>EA-739</t>
  </si>
  <si>
    <t>Advisors Sending Secure Document to Consultants</t>
  </si>
  <si>
    <t>See summary</t>
  </si>
  <si>
    <t>EA-737</t>
  </si>
  <si>
    <t>Technology Intake Review - Medisys Contract Renewal</t>
  </si>
  <si>
    <t>RITM Number: RITM0026944 
Requested By: Louis Ho 
Requested For: 
Department: 7314 - CORPORATE SOLUTIONS TECHNOLOGY 
Business Area: Corporate 
Description: Technology Intake review for Medisys Contract renewal.</t>
  </si>
  <si>
    <t>EA-734</t>
  </si>
  <si>
    <t>New Technology or Solution Review (Minitab)</t>
  </si>
  <si>
    <t>[~GOSHEI1] has requested Minitab software for users. Minitab software is not offered by IGM software catalog, related to REQ0024311 RITM0026769. 
[~FROESD3] from IGM SLM performed SCCM scan. Results and conversation for reasoning for Minitab over Tableau in attachment. 
Spoke with [~MELVIR1] regarding this software and requirements. 
[~ALAWU] and/or [~FLETCS2] need to be consulted for this review.</t>
  </si>
  <si>
    <t>Enterprise Reporting - Report Generation 2022</t>
  </si>
  <si>
    <t>EA-719</t>
  </si>
  <si>
    <t>Migrating to MindBreeze Search SaaS solution (from on-premise appliances)</t>
  </si>
  <si>
    <t>Currently Mackenzie MarketingWeb ([www.mackenzieinvestments.com)|http://www.mackenzieinvestments.com%29/] and number of IG intranet sites (A+, Source and FDR) rely on MindBreeze for site search. MindBreeze (MB) appliances are hosted in WDC and are due for upgrade late August of 2021. Currently MB also offers SaaS solution hosted in their own DC (in USA). 
With the impending need to move away from WDC, along with the need to upgrade soon,  it makes sense to migrate to their SaaS offering at this time. We have requested the vendor to complete our SaaS security assessment which will be reviewed with Security Architecture and risk teams. 
Need guidance on the need to prepare a formal ADR or other documentation to get this approved by EA team. 
 </t>
  </si>
  <si>
    <t>Mahalingam, Lingam [X]</t>
  </si>
  <si>
    <t>EA-718</t>
  </si>
  <si>
    <t>End User Access to PWA 2010 MS PS Project 2007/2013</t>
  </si>
  <si>
    <t>Details to come from [~astowe]</t>
  </si>
  <si>
    <t>EA-714</t>
  </si>
  <si>
    <t>R8 Process Automation Iteration Blueprint Update</t>
  </si>
  <si>
    <t>bringing pub sub  updates  
context is validating asumptions and approval to move forward with the implementation 
[PA-ArchitectureBluePrint-v.35 R8.docx (sharepoint.com)|https://446346262425.sharepoint.com/:w:/r/teams/EnterpriseArchitectureTechnology/_layouts/15/Doc.aspx?sourcedoc=%7BB3AC6BF5-6527-40B0-98AF-A4ACE2DD2DE9%7D&amp;file=PA-ArchitectureBluePrint-v.35%20R8.docx&amp;action=default&amp;mobileredirect=true]</t>
  </si>
  <si>
    <t>EA-704</t>
  </si>
  <si>
    <t>CPI007 - POV Strategy for Static web content - authenticated and unauthenticated sites</t>
  </si>
  <si>
    <t>• Develop PoV for applications which are not sufficiently large to justify deployment of a legacy platform at a managed service provider, but have requirements that cannot be addressed with available cloud services 
*  Adobe is currently targeted for static web strategy. Currently IGM's Adobe instance is on AWS but could move to Azure. Azure implementation would have forced/automatic upgrades, constraints in terms of ability to customize the environment, and currently lacks some key features.</t>
  </si>
  <si>
    <t>EA-703</t>
  </si>
  <si>
    <t>POV User Interface (UI) for End User (Business) Access to Data</t>
  </si>
  <si>
    <t>Ad hoc loading, standard loading 
|Develop principles on acceptance patterns and document what are not | 
|Develop principles on UI for end user business verification patterns, capabilities, governance and controls|</t>
  </si>
  <si>
    <t>EA-702</t>
  </si>
  <si>
    <t>POV User Interface (UI) for Developer Access to Data</t>
  </si>
  <si>
    <t>| • Develop principles for UI for Developer access data patterns, capabilities, governance and controls|</t>
  </si>
  <si>
    <t>EA-698</t>
  </si>
  <si>
    <t>FPS - Disaster Recovery Architecture v0.1</t>
  </si>
  <si>
    <t>To be reviewed for approval with [~FLETCS2] 
 </t>
  </si>
  <si>
    <t>EA-697</t>
  </si>
  <si>
    <t>FPS - Architecture Blueprint v0.1 (Review)</t>
  </si>
  <si>
    <t>To be reviewed for approval with [~FLETCS2] 
The projects’ primary objectives are to: 
* Replace IG, IPC and MI’s separate GROSS and NET performance processes with a single common IGM process within FPS. 
* Improve business processes through the elimination of duplicate data sources and systems.</t>
  </si>
  <si>
    <t>EA-695</t>
  </si>
  <si>
    <t>FactSet - Disaster Recovery Architecture v1.1 (Review)</t>
  </si>
  <si>
    <t>Awaiting approval from [~FLETCS2]</t>
  </si>
  <si>
    <t>EA-691</t>
  </si>
  <si>
    <t>PFP Data Transfer POC</t>
  </si>
  <si>
    <t>Testing the ETL Data Transfer from Advicent to WDC CMOD Staging Area</t>
  </si>
  <si>
    <t>EA-657</t>
  </si>
  <si>
    <t>CEA013a - CMOD Migration Roadmap</t>
  </si>
  <si>
    <t>* Target state for CMOD / Filenet (IS capability being moved to cloud) 
* Currently requires custom libraries, can these be replaced by Wrapper services 
* Should we be looking at reusable patterns/tooling IBM products i.e IBM content navigator (Part Filenet Licensing) as bridge.gateway service 
* Include CMOD work Kav is doing for LLP 
We know that the strategic intent is for CMOD to go to IBM.   
Tell the story of can't decom Pathway without getting going on moving CMOD.</t>
  </si>
  <si>
    <t>EA-655</t>
  </si>
  <si>
    <t>Data Masking POC</t>
  </si>
  <si>
    <t>* Entperise data masking strategy / just in time test data 
* DateX (On the wire, Inline, on the fly) vs. Delphix (Delphix has issues with Hanna) 
* POC targeted in July (DateX) - POV on obfascation requirements / virtualisations (Work with Alan on this) 
* Targeted July 
* Solving for test data/masking, part of scope 
* Bill has a Confluence page describing 
* needs resourcing /priority for resourcing from Data team otherwise looks like Sept</t>
  </si>
  <si>
    <t>EA-649</t>
  </si>
  <si>
    <t>POC Edge in IE mode for applications that are not Chromium compatible</t>
  </si>
  <si>
    <t>Need list of applications to test 
Known issues with Pathway components (http) 
* Web order forms (function issues - client selection) 
* compliance trade review (UI issues) 
* compliance admin or marketing admin (UI issues) 
Digital ADR WIP: [https://confluence.igm.tools/display/APOR/MMD+impacts+and+recommendation] 
 </t>
  </si>
  <si>
    <t>EA-600</t>
  </si>
  <si>
    <t>POV - Source of Client Number - Non Investment</t>
  </si>
  <si>
    <t>Problem Statement:  Clients who have no investments but have product  
Today it is winfund but winfund is being decommissioned.  Where do we get a client number post winfund decommissioning? 
(BPID is only used in Data Science sense is not used for business processing)  
Mortgage product is in MLS - new client wants to buy a mortgage where do we create the client? 
20K  clients 
Is it RBroker? if so they would be a prospect because they don't have investments. 
Business Processes are impacted so need to update accordingly.  Impact on multiple applications.</t>
  </si>
  <si>
    <t>Blocked</t>
  </si>
  <si>
    <t>EA-586</t>
  </si>
  <si>
    <t>CapIntel/AP Integration Pattern: Launch with Context</t>
  </si>
  <si>
    <t>ADR link: [https://confluence.igm.tools/pages/viewpage.action?pageId=179473313] 
 </t>
  </si>
  <si>
    <t>Wharf, Ryan</t>
  </si>
  <si>
    <t>EA-584</t>
  </si>
  <si>
    <t>Stonebranch Patterns to EA Library</t>
  </si>
  <si>
    <t>Identify approved Stonebranch scheduling patterns approved so far.  link to these from EA library  and socialize appropriately. 
Can look to Stonebranch CoE to confirm current usage:  [Stonebranch Centre of Excellence Team - IGM Enterprise Scheduler (Stonebranch) - IGM Confluence|https://confluence.igm.tools/display/IESS/Stonebranch+Centre+of+Excellence+Team] 
 </t>
  </si>
  <si>
    <t>Scheduling 2022</t>
  </si>
  <si>
    <t>EA-580</t>
  </si>
  <si>
    <t>PFP Decom - use of CMOD</t>
  </si>
  <si>
    <t>PFP will be phased out by June 2021, LPP will be the Planning tool for all new client plans. 
There is a requirement to store the old plans in a central store should the advisor/ client require access to them. 
CMOD has been proposed as an option to store these plans. 
 </t>
  </si>
  <si>
    <t>EA-579</t>
  </si>
  <si>
    <t>IPC Salesforce Blueprint</t>
  </si>
  <si>
    <t>blueprint... description pending</t>
  </si>
  <si>
    <t>IPC</t>
  </si>
  <si>
    <t>EA-578</t>
  </si>
  <si>
    <t>IPC Salesforce Strategy ADR</t>
  </si>
  <si>
    <t>IPC salesforce strategy ADR</t>
  </si>
  <si>
    <t>EA-576</t>
  </si>
  <si>
    <t>NSC Current State View</t>
  </si>
  <si>
    <t>Capturing the current state of the NSC as it relates to the Contact Center Optimization.</t>
  </si>
  <si>
    <t>EA-575</t>
  </si>
  <si>
    <t>IPC - Contact Centre Current State</t>
  </si>
  <si>
    <t>Draft a current state view of the IPC Contact center.</t>
  </si>
  <si>
    <t>EA-573</t>
  </si>
  <si>
    <t>Global SIEM/SOC Conversation - Service Now integration CL</t>
  </si>
  <si>
    <t>DR produced by  
George Langa, CL  
Recommendation: 
{quote}It is recommended that initially scoped data integration between IGM’s ServiceNow instance and the Global ServiceNow instance be significantly reduced, and compensating actions be taken instead to ensure security risks are appropriately managed. 
{quote} 
associating this with the Divestiture project as the request to descope is prompted by planned divestiture</t>
  </si>
  <si>
    <t>EA-572</t>
  </si>
  <si>
    <t>LPP Release 6 Blueprint update</t>
  </si>
  <si>
    <t>LPP is preparing for release 6 which will deliver the client experience to IGM clients. 
Integration with Online Access will allow registered clients to access their completed LPP plans via the planning tab. 
 </t>
  </si>
  <si>
    <t>Living Plan Portal 2022</t>
  </si>
  <si>
    <t>EA-566</t>
  </si>
  <si>
    <t>MMD Architecture</t>
  </si>
  <si>
    <t>Microsoft Managed Desktop / Virtual Desktop, Architecture, with Canada life</t>
  </si>
  <si>
    <t>EA-559</t>
  </si>
  <si>
    <t>Integration Pattern for Predictive Analytics in Digital Wholesaling</t>
  </si>
  <si>
    <t>Existing integration strategy requires ETL to build model-specific applications to move data from HANA into Salesforce.  This creates high effort for operationalizing a new model, and eats data storage limits in MI Salesforce which is nearing capacity. 
Architect assignment for Peter: investigate the use of external objects for exposing predictive model data into Salesforce: 
* Pros and cons of OData/External Objects vs ETL-loaded Salesforce objects 
* OData v2 vs v4 
* How does EA load data (through Mule, but how?  Is there reuse potential here?)  If we switch to external objects, what is the optimal architecture for getting the data into EA? 
* If the answer is external objects, create a decision document (.pptx or Confluence) and form a recommendation 
* HANA archives data to IQ after (usually) 6 months, but this can be changed, how long do we need to be able to go back? 
The goal/expected benefits are: 
# Less data storage in Salesforce 
# Generalize the integration so that adding new model results becomes low-effort configuration instead of high-effort ETL development</t>
  </si>
  <si>
    <t>EA-544</t>
  </si>
  <si>
    <t>Update Browser Strategy for 2021</t>
  </si>
  <si>
    <t>Corporate and IGA Browser Strategy documentation was produced in 2019 and updated through early months of 2020.  Significant strides in VDI and MMD projects mean that it is a good time to revisit this and publish updates based on current and future requirements. 
[https://confluence.igm.tools/display/HBM] 
This confluence space needs to be tidied up to show what content is no longer applicable and what info is important to consider going forward. 
need to iinclude 
1) MMD standards 
2) VDI standards for IGA - now and future 
3) supporting Client needs accross multiple browsers 
4) Browser extensions for Edge  
identify any outstanding work or issues etc</t>
  </si>
  <si>
    <t>EA-534</t>
  </si>
  <si>
    <t>Bloomberg Migration from TCR to TR2</t>
  </si>
  <si>
    <t>The objective of this ADR is to migrate the Bloomberg connectivity for IGM from TCR to IGM CoLo data center in TR2 and address the business continuity plan by standing up Bloomberg connectivity in Montreal IGM CoLo Data center. 
 *See attached document for option details.* 
*Proposed Solution*: 
Option 1 
The proposed solution includes a parallel build of Bloomberg Connection in IGM CoLo data center in TR2 and Montreal ( when Montreal IGM CoLo is up and running ) .The proposed solution includes the deployment of new BB Gateways and CFN servers that will be deployed only when an application is migrated out of WDC : 
* Connectivity to Bloomberg presence in TR2 
* Deployment of new BB Gateways in IGM Subscription in Azure ( when first application migration takes place) 
* Deployment of CFN Servers in IGM subscription in Azure 
* Deployment of BB Appliances in TR2 , Extranet switch 
* Dedicated WAN links from 180 Simcoe and 180 Queen with failover connectivity via VeloCloud Edge ( see below diagram) 
* Leverage existing Switches in the office and TR2 Location 
Connectivity to Bloomberg from Portage, Dublin and Hong Kong will remain as is and will be migrated to the IGM Network . Montreal connectivity to Bloomberg will commence when IGM infrastructure in Montreal is completed.</t>
  </si>
  <si>
    <t>EA-525</t>
  </si>
  <si>
    <t>Chatbots of Contact Centre Optimization</t>
  </si>
  <si>
    <t>A POC was run in MI to test the concept of ChatBots. The Contact Cetre team would like to make us of a ChatBot as part of the Optimisation project. 
Documentation Link: [AI/ Chatbot for CC Optimization - Contact Centre Optimisation 2021 - IGM Confluence|https://confluence.igm.tools/pages/viewpage.action?pageId=177079354]</t>
  </si>
  <si>
    <t>EA-524</t>
  </si>
  <si>
    <t>Knowledge Management POV for Contact Centre Optimization</t>
  </si>
  <si>
    <t>Review of the existing Knowledge Management practices. 
Documentation Link: [Knowledge Management for CC Optimization - Contact Centre Optimisation 2021 - IGM Confluence|https://confluence.igm.tools/display/CCO2/Knowledge+Management+for+CC+Optimization] 
 </t>
  </si>
  <si>
    <t>EA-503</t>
  </si>
  <si>
    <t>ADR – End User Access to Legacy Applications Using Insecure Communications</t>
  </si>
  <si>
    <t>EA-453</t>
  </si>
  <si>
    <t>CSA Regulatory Reforms - Blueprint</t>
  </si>
  <si>
    <t>Project Blueprint for CSA Reforms involves material updates to multiple applications within IGM's environment as well as overlap with the  project adding Capintel to IGM's application portfolio.  This blueprint describes all the changes and additions related to the projects.   
In addition to this blueprint, individual Application living blueprints will need to be updated to reflect the updates to individual applications implemented by this project and filed to the EA library as Point in Time when project completes. 
Kelsey is point on the architecture for the project with individual application SA supporting.</t>
  </si>
  <si>
    <t>EA-446</t>
  </si>
  <si>
    <t>FX Hedgebook Phase 1 Blueprint</t>
  </si>
  <si>
    <t>Phase 1 targets the database enablement. It will improve data security, performance and reliability by decoupling the data storage from the current FX Hedgebook.   
Project Code: IM000021</t>
  </si>
  <si>
    <t>EA-394</t>
  </si>
  <si>
    <t>Rockies</t>
  </si>
  <si>
    <t>EA-382</t>
  </si>
  <si>
    <t>Collaboration Tooling Roadmap</t>
  </si>
  <si>
    <t>Using OneDrive, SharePoint, Teams - integrations with other tools etc. 
- collaborate with Business Architecture, EPMO, around developing usage standards that ensure appropriate cost management 
*Collaboration Tooling* 
* Collaboration Roadmap 
(OneDrive, SharePoint, Teams) 
*Teams Integration* 
* Softphone deployment 
* Teams enabled devices 
*ITSM Integration* 
* Integration of the End User space into the ITSM world (Asset integration to ServiceNow) 
* Consumption and subscription management 
* Right sizing the environment 
* Optimizing the consumption module 
* Idle state management of VMs and Dev/UAT environments</t>
  </si>
  <si>
    <t>EA-380</t>
  </si>
  <si>
    <t>Event Correlation POV</t>
  </si>
  <si>
    <t>*Event Correlation* 
* Data and service management available from vendors 
* Correlation capability of the simple toolset 
* Long term integration of the tools based on functionality or usability</t>
  </si>
  <si>
    <t>Cloud Hosting</t>
  </si>
  <si>
    <t>EA-379</t>
  </si>
  <si>
    <t>Integrated Operations Management</t>
  </si>
  <si>
    <t>* Application Performance Monitoring (APM) (EA-320) 
* Network Operations 
* Cloud Security Operations 
* Azure PaaS security Operations</t>
  </si>
  <si>
    <t>EA-378</t>
  </si>
  <si>
    <t>Enterprise HA/DR Strategy</t>
  </si>
  <si>
    <t>Identify and document High Availability and Disaster Recovery patterns for cloud.</t>
  </si>
  <si>
    <t>EA-371</t>
  </si>
  <si>
    <t>Enterprise Strategy for Mobile</t>
  </si>
  <si>
    <t>Documenting frameworks for including secure mobile apps for Client, Advisor, and Corporate users.​ 
​ 
Needs to work with identified strategic platforms: SAP, Salesforce, Conquest, etc.</t>
  </si>
  <si>
    <t>EA-362</t>
  </si>
  <si>
    <t>Client mobile roadmap</t>
  </si>
  <si>
    <t>EA</t>
  </si>
  <si>
    <t>EA-359</t>
  </si>
  <si>
    <t>Aggregation POV</t>
  </si>
  <si>
    <t>EA-349</t>
  </si>
  <si>
    <t>Azure AD Blueprint</t>
  </si>
  <si>
    <t>EA-347</t>
  </si>
  <si>
    <t>POV - External Vendor Access Patterns</t>
  </si>
  <si>
    <t>EA-322</t>
  </si>
  <si>
    <t>Data Corruption - Backup Options</t>
  </si>
  <si>
    <t>Raised by [~WIEBEC1] - Salesforce for example does not have data backup for recovery in the case of data coruption (while DR is in place for infrastructure issues via duplication, if data is corupted that corruption would be duplicated in both locations) 
Options for restore from backup? 
what patterns might be appropriate?</t>
  </si>
  <si>
    <t>EA-295</t>
  </si>
  <si>
    <t>Transfer Agency - End-2-End - Reset</t>
  </si>
  <si>
    <t>EA-283</t>
  </si>
  <si>
    <t>IG RDSP Roadmap</t>
  </si>
  <si>
    <t>Dealer has deferred thinking about it until 2021 apparently (tying it to Winfund and Client name decommission possibly...) 
ToDo later 2020 
default assignee Greg, but could be Dealer SA 
 </t>
  </si>
  <si>
    <t>EA-195</t>
  </si>
  <si>
    <t>DCES R2.2 Blueprint</t>
  </si>
  <si>
    <t>[Living Blueprint |https://confluence.igm.tools/display/TAC/Blueprint] 
 </t>
  </si>
  <si>
    <t>EA-178</t>
  </si>
  <si>
    <t>Marketing Cloud Target Data Architecture</t>
  </si>
  <si>
    <t>EA-126</t>
  </si>
  <si>
    <t>SIS Replacement Function Placement ADR</t>
  </si>
  <si>
    <t>Current State Application Rationalization PoV and Overview of Target State Options 
Impact High 
 </t>
  </si>
  <si>
    <t>EA-92</t>
  </si>
  <si>
    <t>RDSP Administration (vendor dependant)</t>
  </si>
  <si>
    <t>Continue with LTI administering in Client Name, or move to R.Broker in nominee 
Impact High 
Allows wind up of IGR funds, administrative consolidation to dealer platform</t>
  </si>
  <si>
    <t>EA-74</t>
  </si>
  <si>
    <t>Contractor Optimization Project (HCM Works)</t>
  </si>
  <si>
    <t>Assemble solution blueprint for solution being deployed to manage contingent workforce 
Business is deploying Contingent Worker Management solution via HCM Works 
'Roll out of contingent workforce management solution is in progress 
 </t>
  </si>
  <si>
    <t xml:space="preserve">Epic Link </t>
  </si>
  <si>
    <t xml:space="preserve">Initiative </t>
  </si>
  <si>
    <t>Corporate Delivery Portfolio</t>
  </si>
  <si>
    <t>Fund Services</t>
  </si>
  <si>
    <t>Human Resources</t>
  </si>
  <si>
    <t>Technology Principles, Patterns, and Standards</t>
  </si>
  <si>
    <t>IT Governance</t>
  </si>
  <si>
    <t>Projects and Initiatives Spanning Portfolios</t>
  </si>
  <si>
    <t>Digital Delivery Portfolio</t>
  </si>
  <si>
    <t>Infrastructure Delivery Portfolio</t>
  </si>
  <si>
    <t>Data and Integration Delivery Portfolio</t>
  </si>
  <si>
    <t>Enterprise Analytics Platform</t>
  </si>
  <si>
    <t>Enterprise AI Platform</t>
  </si>
  <si>
    <t>Other Integration Services</t>
  </si>
  <si>
    <t>Security Delivery Portfolio</t>
  </si>
  <si>
    <t xml:space="preserve">IPC Technology Delivery Portfolio </t>
  </si>
  <si>
    <t>Other Project Epic Links</t>
  </si>
  <si>
    <t>EA Epic Links</t>
  </si>
  <si>
    <t>Middle Office Program</t>
  </si>
  <si>
    <t>Term Loans</t>
  </si>
  <si>
    <t>Derivatives and Collateral</t>
  </si>
  <si>
    <t>Corporate Actions</t>
  </si>
  <si>
    <t>Pricing</t>
  </si>
  <si>
    <t>Security Reference</t>
  </si>
  <si>
    <t>Reconciliation</t>
  </si>
  <si>
    <t>Middle Office Program Level</t>
  </si>
  <si>
    <t>EA-1245</t>
  </si>
  <si>
    <t>ADR: ShareFile Implementation Decisions</t>
  </si>
  <si>
    <t>IGM currently has no mechanism for secure sharing of files/documents between internal and external users, with many users choosing to send sensitive documents over email.  Citrix ShareFile was identified as a solution for this gap, as it provides a secure channel to transfer files between parties.</t>
  </si>
  <si>
    <t>EA-1244</t>
  </si>
  <si>
    <t>Invoice Advantage (IA) Lite integration</t>
  </si>
  <si>
    <t>This is a blueprint on the integration with Energy Advantage to address the problem statement below. The interface will load utility invoices from Energy Advantage to SAP ECC. 
Problem Statement. 
The Finance Shared Services (FSS) team currently spends approximately 10 hours a week processing utilities invoices for IG regional offices. Much of the effort spent performing the tasks above can be absorbed by Energy Advantage (EA), a Canadian energy and sustainability data disclosure and management service currently providing this service to IG. In addition, the Accounts Payable (AP) team must manually process all these invoices for payment once they are approved and sent from FSS. This task is cumbersome, and leads to interest charges incurred to the company due to late payments (typically due within 10-15 days of invoice). </t>
  </si>
  <si>
    <t>EA-1243</t>
  </si>
  <si>
    <t>Transfer Agency Printing and Compositing toolset optionality</t>
  </si>
  <si>
    <t>IGM has decided to transfer the operations of the Transfer Agency ecosystem, including people and systems, to CGI. The scope of the program includes -  
* transfer the operations and maintenance of the SAS Mainframe and the CDR SAS ecosystem to CGI via a multi year AMS program.  
* 36-48 month modernization program to migrate out of the mainframe and into a more current target platform.  
The SAS ecosystem also provides printing and compositing to IGM. The legacy toolset involved  - Compuset and Acucobol - are at EOL and currently unsupported. CGI's security organization has indicated that the OS requirements for hosting the legacy toolset- Windows XP -  would leave any CGI managed service exposed to security risks. Current options -  
* Upgrade toolset to current versions  
* Re-engineer / Re-architect current functionality onto target state   </t>
  </si>
  <si>
    <t>Cruz, Gerrald</t>
  </si>
  <si>
    <t>EA-1242</t>
  </si>
  <si>
    <t>Placement Strategy for CDR Open Systems</t>
  </si>
  <si>
    <t>IGM has decided to transfer the operations of the Transfer Agency ecosystem, including people and systems, to CGI. The scope of the program includes -  
* transfer the operations and maintenance of the SAS Mainframe and the CDR SAS ecosystem to CGI via a multi year AMS program.  
* 36-48 month modernization program to migrate out of the mainframe and into a more current target platform.  
CDR Open Systems consists of applications hosted on Miosapp1 (AIX), and dbs hosted on Mioradbp2 and Mioradbp1 (Oracle on AIX).  Optionality for the target placement strategy for CDR Open Systems  -  
# CGI lifts and shifts the CDR ecosystem ( including all of the Oracle schemas and apps) and provides connectivity to IGM applications via CGI GCP tenancy that integrate with CDR hosted in another cloud Oracle Cloud Infrastructure/OCI.  Patten:  IGM applications like TREX, DP --&gt; CGI GCP Data Manager, API Manager  -&gt; OCI managed oracle instance.  
# CGI lifts and shifts a subset of apps and schemas currently on Miosapp1, Mioradbp1 and Mioradp2, leaving IGM to create and manage Oracle infrastructure  to support the remaining schemas ( and dependent applications) in WDC and later exit to IGM GCP/Azure. 
Current State is being documented here -[Transfer Agency - Current State - All Documents (sharepoint.com)|https://446346262425.sharepoint.com/teams/TransferAgency/Shared%20Documents/Forms/AllItems.aspx?id=%2Fteams%2FTransferAgency%2FShared%20Documents%2FCurrent%20State&amp;viewid=3113e649%2D0512%2D4154%2Db2eb%2Df18f4ef7e296]</t>
  </si>
  <si>
    <t>h1. Executive Summary 
h3. Context: 
Problem Statement: 
The current search experience at IGM is sub-optimal and does not deliver the accurate responses to the requested queries. The search function is also limited and is not enterprise wide. A new search tool is required to address the current sub optimal search process. 
h3. Recommendation: 
Recommendation is Coveo based on work concluded to date 
* Total experience is superior (Salesforce choice for federated search) 
* 3rd party integrations are superior 
* All key capabilities have been successfully demonstrated 
* Committed in writing to costs and have inspired confidence in their pricing proposal 
Next steps should include a security evaluation and procurement / delivery led contracting to lock in.</t>
  </si>
  <si>
    <t>PoC of service account (Cloud API) based discovery.  
Configure the Cloud Provisioning and Governance module on ServiceNow test environment.  
Use case 1: Servers and other cloud resources provisioned on Azure are available on ServiceNow CMDB  
Use case 2: Servers and other cloud resources Google cloud are available on ServiceNow CMDB 
The scope of discovery for this POC will be limited to a select set of resources both on Azure and Google cloud.  
Results 
Confirmed ability to get some key information, this would not be sufficient to fullfill all requirements.  There is optionality on how remaining discovery requirements are fullfilled.  Further project work to continue identifying appropriate methods with security and cost comparisons. 
Recomendation 
Turn Cloud API discovery on in DEV with max coverage to support a project to establish ongoing CMDB discovery design and related processes.  Once full design is documented and approved move forward with implementation into all environments. 
Steps 
* Expand the scope of Cloud API Discovery in Dev to include all cloud resources. 
* Gather any additional requirements from dependent projects (Apptio, App Migration, Vulnerability Mgmt, etc) 
* Review CMDB requirements and identify appropriate Service Now Discovery integrations to fill data points → [CMDB Requirements Doc.docx (sharepoint.com)|https://can01.safelinks.protection.outlook.com/ap/w-59584e83/?url=https%3A%2F%2F446346262425.sharepoint.com%2F%3Aw%3A%2Fr%2Fteams%2FIGM-ChangeAssetConfigurationManagement%2F_layouts%2F15%2FDoc.aspx%3Fsourcedoc%3D%257B9813F17A-CD04-4311-BD88-79F105573B2C%257D%26file%3DCMDB%2520Requirements%2520Doc.docx%26action%3Ddefault%26mobileredirect%3Dtrue%26CID%3D552FC2B5-153C-4FE8-BB44-67CAA193C3DF&amp;data=05%7C01%7CROBBIE.MELVIN%40igmfinancial.com%7Cb7d407bc8026408d5dae08db4d94de1f%7Cdc411c631f524491bb51c4d215a1de23%7C0%7C0%7C638189073990057609%7CUnknown%7CTWFpbGZsb3d8eyJWIjoiMC4wLjAwMDAiLCJQIjoiV2luMzIiLCJBTiI6Ik1haWwiLCJXVCI6Mn0%3D%7C3000%7C%7C%7C&amp;sdata=IL04IHCOQ%2BhaBobeZuaqbvik%2BHXCFS7uWX2Ae%2FByHLw%3D&amp;reserved=0]    IN PROGRESS 
** Where can cloud infrastructure meta data support automated CI mapping &amp; field updates 
** Where can Cloud infrastructure tagging support automated CI mapping &amp; field updates 
** What additional integrations are appropriate to support requirements 
** what additional cloud infrastructure tags are appropriate to support requirements 
* Identify what scope of Cloud API discovery is required for post project in production 
* Document related processes and CI detail requirements (naming conventions, taxonomy, change management steps, etc)  
 </t>
  </si>
  <si>
    <t>PoV - GitHub MVP IGM Core Version control</t>
  </si>
  <si>
    <t>high level architecture for MVP for GitHub as for Enterprise Core Version Control, code repository, 
Roadmap for further build out and future state for and continuous integration orchestration tooling to support cloud etc.</t>
  </si>
  <si>
    <t>The artifact [ IGM - Process Automation Application and Infrastructure v_1.3.1.docx|https://can01.safelinks.protection.outlook.com/ap/w-59584e83/?url=https%3A%2F%2F446346262425.sharepoint.com%2F%3Aw%3A%2Fr%2Fteams%2FPAProgram%2FShared%2520Documents%2FIGM%2520Transition%2FATOS%2520Documentation%2FTransition%2520A%2520Documentation%2FInfrastructure%2FIGM%2520-%2520Process%2520Automation%2520Application%2520and%2520Infrastructure%2520v_1.3.1.docx%3Fd%3Dwfff29853a02a41e0b9757ab16a2667f8%26csf%3D1%26web%3D1%26e%3Doj0IMm&amp;data=05%7C01%7CROBBIE.MELVIN%40igmfinancial.com%7Ca3cfe5bf57414f61e8c908db4b0d965e%7Cdc411c631f524491bb51c4d215a1de23%7C0%7C0%7C638186296006440987%7CUnknown%7CTWFpbGZsb3d8eyJWIjoiMC4wLjAwMDAiLCJQIjoiV2luMzIiLCJBTiI6Ik1haWwiLCJXVCI6Mn0%3D%7C3000%7C%7C%7C&amp;sdata=YuVcqkz%2BS9vTt4t4d0cBOKY1RYQi4sb0g0fpLmAaT3I%3D&amp;reserved=0]   
provides an infrastructure design for Process Automation that is being built for IGM by Atos within the IGM Azure tenant with a focus on what will be deployed into the IGM provided Azure subscriptions. 
The artifact [ IGM - Process Automation Application (Transition) - Security Design v_1.31.docx |https://can01.safelinks.protection.outlook.com/ap/w-59584e83/?url=https%3A%2F%2F446346262425.sharepoint.com%2F%3Aw%3A%2Fr%2Fteams%2FPAProgram%2FShared%2520Documents%2FIGM%2520Transition%2FATOS%2520Documentation%2FTransition%2520A%2520Documentation%2FSecurity%2520Model%2FIGM%2520-%2520Process%2520Automation%2520Application%2520(Transition)%2520-%2520Security%2520Design%2520v_1.31.docx%3Fd%3Dwcc59c90a73de4448b0e0c6ea17e8c476%26csf%3D1%26web%3D1%26e%3Dhfsfwr&amp;data=05%7C01%7CROBBIE.MELVIN%40igmfinancial.com%7Ca3cfe5bf57414f61e8c908db4b0d965e%7Cdc411c631f524491bb51c4d215a1de23%7C0%7C0%7C638186296006440987%7CUnknown%7CTWFpbGZsb3d8eyJWIjoiMC4wLjAwMDAiLCJQIjoiV2luMzIiLCJBTiI6Ik1haWwiLCJXVCI6Mn0%3D%7C3000%7C%7C%7C&amp;sdata=PexoLj8bNl%2BV%2BZ9iZihqo%2BZiCkAVcSe3CwQ18VBHZAY%3D&amp;reserved=0]provides a security design for Process Automation that is being replatformed for IGM by Atos to an IGM Azure subscription with a focus on the alignment to the security requirements (SR’s) provided by IGM. This document will identify the implementation of the security requirements. 
High Level Design 
!image-2023-05-08-17-39-16-359.png|width=872,height=496! 
 </t>
  </si>
  <si>
    <t>CE Corner - Blueprint (TSN 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</si>
</sst>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000000"/>
      <name val="Arial"/>
      <family val="2"/>
    </font>
    <font>
      <u/>
      <sz val="11"/>
      <color theme="10"/>
      <name val="Calibri"/>
      <family val="2"/>
      <scheme val="minor"/>
    </font>
    <font>
      <b/>
      <sz val="11"/>
      <color rgb="FF000000"/>
      <name val="Arial"/>
      <family val="2"/>
    </font>
    <font>
      <sz val="8"/>
      <name val="Calibri"/>
      <family val="2"/>
      <scheme val="minor"/>
    </font>
    <font>
      <sz val="9"/>
      <color rgb="FF000000"/>
      <name val="Arial"/>
      <family val="2"/>
    </font>
    <font>
      <i/>
      <sz val="11"/>
      <color rgb="FF000000"/>
      <name val="Arial"/>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style="thin">
        <color rgb="FF000000"/>
      </left>
      <right style="thin">
        <color rgb="FF000000"/>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43">
    <xf numFmtId="0" fontId="0" fillId="0" borderId="0"/>
    <xf numFmtId="0" fontId="2" fillId="0" borderId="0" applyNumberFormat="0" applyFill="0" applyBorder="0" applyAlignment="0" applyProtection="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0" applyNumberFormat="0" applyBorder="0" applyAlignment="0" applyProtection="0"/>
    <xf numFmtId="0" fontId="15" fillId="7" borderId="6" applyNumberFormat="0" applyAlignment="0" applyProtection="0"/>
    <xf numFmtId="0" fontId="16" fillId="8" borderId="7" applyNumberFormat="0" applyAlignment="0" applyProtection="0"/>
    <xf numFmtId="0" fontId="17" fillId="8" borderId="6" applyNumberFormat="0" applyAlignment="0" applyProtection="0"/>
    <xf numFmtId="0" fontId="18" fillId="0" borderId="8" applyNumberFormat="0" applyFill="0" applyAlignment="0" applyProtection="0"/>
    <xf numFmtId="0" fontId="19" fillId="9" borderId="9" applyNumberFormat="0" applyAlignment="0" applyProtection="0"/>
    <xf numFmtId="0" fontId="20" fillId="0" borderId="0" applyNumberFormat="0" applyFill="0" applyBorder="0" applyAlignment="0" applyProtection="0"/>
    <xf numFmtId="0" fontId="7" fillId="10"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23"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23"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23"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23" fillId="23"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23"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23"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cellStyleXfs>
  <cellXfs count="15">
    <xf numFmtId="0" fontId="0" fillId="0" borderId="0" xfId="0"/>
    <xf numFmtId="0" fontId="3" fillId="3" borderId="1"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0" xfId="0" applyFont="1" applyFill="1" applyAlignment="1">
      <alignment horizontal="center" vertical="top" wrapText="1"/>
    </xf>
    <xf numFmtId="0" fontId="1" fillId="0" borderId="0" xfId="0" applyFont="1" applyAlignment="1">
      <alignment vertical="top" wrapText="1"/>
    </xf>
    <xf numFmtId="0" fontId="5" fillId="0" borderId="0" xfId="0" applyFont="1"/>
    <xf numFmtId="14" fontId="0" fillId="0" borderId="0" xfId="0" applyNumberFormat="1"/>
    <xf numFmtId="0" fontId="0" fillId="0" borderId="2" xfId="0" applyBorder="1"/>
    <xf numFmtId="0" fontId="3" fillId="2" borderId="13" xfId="0" applyFont="1" applyFill="1" applyBorder="1" applyAlignment="1">
      <alignment horizontal="center" vertical="top" wrapText="1"/>
    </xf>
    <xf numFmtId="0" fontId="0" fillId="0" borderId="0" xfId="0" applyAlignment="1">
      <alignment horizontal="center" vertical="center" wrapText="1"/>
    </xf>
    <xf numFmtId="0" fontId="1" fillId="0" borderId="0" xfId="0" applyNumberFormat="1" applyFont="1" applyAlignment="1">
      <alignment vertical="top" wrapText="1"/>
    </xf>
    <xf numFmtId="49" fontId="1" fillId="0" borderId="12" xfId="0" applyNumberFormat="1" applyFont="1" applyBorder="1" applyAlignment="1">
      <alignment horizontal="left" vertical="top" wrapText="1"/>
    </xf>
    <xf numFmtId="49" fontId="2" fillId="0" borderId="12" xfId="1" applyNumberFormat="1" applyBorder="1" applyAlignment="1">
      <alignment horizontal="left" vertical="top" wrapText="1"/>
    </xf>
    <xf numFmtId="0" fontId="1" fillId="0" borderId="12" xfId="0" applyFont="1" applyBorder="1" applyAlignment="1">
      <alignment vertical="top" wrapText="1"/>
    </xf>
    <xf numFmtId="0" fontId="6" fillId="0" borderId="12" xfId="0" applyFont="1" applyBorder="1" applyAlignment="1">
      <alignment vertical="top" wrapText="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4">
    <dxf>
      <font>
        <strike val="0"/>
        <outline val="0"/>
        <shadow val="0"/>
        <u val="none"/>
        <vertAlign val="baseline"/>
        <sz val="11"/>
        <name val="Calibri"/>
        <family val="2"/>
        <scheme val="minor"/>
      </font>
      <border diagonalUp="0" diagonalDown="0">
        <left/>
        <right style="thin">
          <color theme="4" tint="0.39997558519241921"/>
        </right>
        <top style="thin">
          <color theme="4" tint="0.39997558519241921"/>
        </top>
        <bottom style="thin">
          <color theme="4" tint="0.39997558519241921"/>
        </bottom>
        <vertical/>
        <horizontal/>
      </border>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b val="0"/>
        <i val="0"/>
        <strike val="0"/>
        <condense val="0"/>
        <extend val="0"/>
        <outline val="0"/>
        <shadow val="0"/>
        <u val="none"/>
        <vertAlign val="baseline"/>
        <sz val="11"/>
        <color rgb="FF000000"/>
        <name val="Arial"/>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30" formatCode="@"/>
      <alignment horizontal="left"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30" formatCode="@"/>
      <alignment horizontal="left" vertical="top" textRotation="0" wrapText="1" indent="0" justifyLastLine="0" shrinkToFit="0" readingOrder="0"/>
    </dxf>
    <dxf>
      <numFmt numFmtId="30" formatCode="@"/>
      <alignment horizontal="left" vertical="top" textRotation="0" wrapText="1"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Arial"/>
        <family val="2"/>
        <scheme val="none"/>
      </font>
      <alignment horizontal="general" vertical="top" textRotation="0" wrapText="1" indent="0" justifyLastLine="0" shrinkToFit="0" readingOrder="0"/>
    </dxf>
    <dxf>
      <border outline="0">
        <bottom style="thin">
          <color rgb="FF000000"/>
        </bottom>
      </border>
    </dxf>
    <dxf>
      <font>
        <b/>
        <i val="0"/>
        <strike val="0"/>
        <condense val="0"/>
        <extend val="0"/>
        <outline val="0"/>
        <shadow val="0"/>
        <u val="none"/>
        <vertAlign val="baseline"/>
        <sz val="11"/>
        <color rgb="FF000000"/>
        <name val="Arial"/>
        <family val="2"/>
        <scheme val="none"/>
      </font>
      <fill>
        <patternFill patternType="solid">
          <fgColor indexed="64"/>
          <bgColor theme="0"/>
        </patternFill>
      </fill>
      <alignment horizontal="center" vertical="top"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DCA4E9-018C-4735-9B25-352715EB6994}" name="ALL_Issues2" displayName="ALL_Issues2" ref="A1:P248" totalsRowShown="0" headerRowDxfId="23" dataDxfId="21" headerRowBorderDxfId="22" tableBorderDxfId="20" totalsRowBorderDxfId="19">
  <autoFilter ref="A1:P248" xr:uid="{B9DCA4E9-018C-4735-9B25-352715EB6994}"/>
  <tableColumns count="16">
    <tableColumn id="1" xr3:uid="{6FC2CEC6-27C1-4C1F-8C48-CC27DD9706FB}" name="Key" dataDxfId="18" dataCellStyle="Hyperlink"/>
    <tableColumn id="2" xr3:uid="{6BB4A6FB-E65D-4DE2-AEBB-0CE17899E36D}" name="Issue Type" dataDxfId="17"/>
    <tableColumn id="3" xr3:uid="{40C10D60-D7CC-4218-9C93-C6644097C888}" name="Summary" dataDxfId="16"/>
    <tableColumn id="4" xr3:uid="{01BF875E-1B61-49BE-B22E-6BAB33D44904}" name="Description" dataDxfId="15"/>
    <tableColumn id="6" xr3:uid="{6D85379E-E66D-4EB8-B651-F719E362CDEC}" name="Status" dataDxfId="14"/>
    <tableColumn id="8" xr3:uid="{B1C5A39E-0B4C-4FC7-AAB9-74F8F253B291}" name="Approval Level " dataDxfId="13"/>
    <tableColumn id="9" xr3:uid="{B6804FA5-FCA7-46F1-9BAC-EB4976A7365A}" name="Delivery Type " dataDxfId="12"/>
    <tableColumn id="17" xr3:uid="{914415DC-E62C-4E1C-9ECD-EC29D608B0D5}" name="Assignee" dataDxfId="11"/>
    <tableColumn id="16" xr3:uid="{92D49CAE-5143-47C3-84AA-EF9B88C959FC}" name="Epic Link" dataDxfId="10"/>
    <tableColumn id="22" xr3:uid="{53574F61-F27A-4DC9-A2CD-B7BDF7B87745}" name="Primary Domain" dataDxfId="9"/>
    <tableColumn id="23" xr3:uid="{8E87522C-610C-4871-84FF-195125C814FA}" name="EA Architect" dataDxfId="8"/>
    <tableColumn id="24" xr3:uid="{3CA12340-83C0-4B68-A0BE-EF2570E206F2}" name="Service Owner" dataDxfId="7"/>
    <tableColumn id="40" xr3:uid="{5400EB0C-2524-47FE-814F-FD2FC8F1DFCB}" name="Diverstiture Impact" dataDxfId="6"/>
    <tableColumn id="41" xr3:uid="{7B583725-FAC1-41C8-B910-019DB80B8FCC}" name="Canada Life Impact" dataDxfId="5"/>
    <tableColumn id="26" xr3:uid="{AB48AC37-6CEB-4962-9241-E561CD73AD84}" name="Initiative" dataDxfId="4">
      <calculatedColumnFormula>VLOOKUP(ALL_Issues2[[#This Row],[EA Epic Link]],Table466[],2,FALSE)</calculatedColumnFormula>
    </tableColumn>
    <tableColumn id="5" xr3:uid="{94E47ABB-AF5F-4C67-95FE-7AEFB4582CE3}" name="EA Epic Link" dataDxfId="3">
      <calculatedColumnFormula>_xlfn.XLOOKUP(ALL_Issues2[[#This Row],[Epic Link]], Table35[Other Project Epic Links], Table35[EA Epic Links], ALL_Issues2[[#This Row],[Epic Link]])</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066472-95FE-4AF7-BC93-815EB7F3CD93}" name="Table466" displayName="Table466" ref="A1:B42" totalsRowShown="0" headerRowDxfId="2">
  <autoFilter ref="A1:B42" xr:uid="{E7A455B5-5E7C-46BC-9F99-B1E8EA8BB7B5}"/>
  <sortState xmlns:xlrd2="http://schemas.microsoft.com/office/spreadsheetml/2017/richdata2" ref="A2:B40">
    <sortCondition ref="B1:B40"/>
  </sortState>
  <tableColumns count="2">
    <tableColumn id="1" xr3:uid="{D80A9A9A-2C3A-4A88-A81A-F783F8D9A2E8}" name="Epic Link " dataDxfId="1"/>
    <tableColumn id="2" xr3:uid="{037FB678-FF2F-40AB-992C-BEB9EC151CBB}" name="Initiative "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B5D09-CAD2-416F-9DFA-8163C6A84448}" name="Table35" displayName="Table35" ref="B1:C11" totalsRowShown="0">
  <autoFilter ref="B1:C11" xr:uid="{EEBB5D09-CAD2-416F-9DFA-8163C6A84448}"/>
  <tableColumns count="2">
    <tableColumn id="1" xr3:uid="{975AA734-E273-44FA-A39F-F47FAD9A13A0}" name="Other Project Epic Links"/>
    <tableColumn id="2" xr3:uid="{26078754-F9C5-45F9-B6C6-F961124DE531}" name="EA Epic Link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jira.igm.tools/browse/EA-1002" TargetMode="External"/><Relationship Id="rId21" Type="http://schemas.openxmlformats.org/officeDocument/2006/relationships/hyperlink" Target="https://jira.igm.tools/browse/EA-1224" TargetMode="External"/><Relationship Id="rId42" Type="http://schemas.openxmlformats.org/officeDocument/2006/relationships/hyperlink" Target="https://jira.igm.tools/browse/EA-1186" TargetMode="External"/><Relationship Id="rId63" Type="http://schemas.openxmlformats.org/officeDocument/2006/relationships/hyperlink" Target="https://jira.igm.tools/browse/EA-1129" TargetMode="External"/><Relationship Id="rId84" Type="http://schemas.openxmlformats.org/officeDocument/2006/relationships/hyperlink" Target="https://jira.igm.tools/browse/EA-1084" TargetMode="External"/><Relationship Id="rId138" Type="http://schemas.openxmlformats.org/officeDocument/2006/relationships/hyperlink" Target="https://jira.igm.tools/browse/EA-934" TargetMode="External"/><Relationship Id="rId159" Type="http://schemas.openxmlformats.org/officeDocument/2006/relationships/hyperlink" Target="https://jira.igm.tools/browse/EA-884" TargetMode="External"/><Relationship Id="rId170" Type="http://schemas.openxmlformats.org/officeDocument/2006/relationships/hyperlink" Target="https://jira.igm.tools/browse/EA-811" TargetMode="External"/><Relationship Id="rId191" Type="http://schemas.openxmlformats.org/officeDocument/2006/relationships/hyperlink" Target="https://jira.igm.tools/browse/EA-749" TargetMode="External"/><Relationship Id="rId205" Type="http://schemas.openxmlformats.org/officeDocument/2006/relationships/hyperlink" Target="https://jira.igm.tools/browse/EA-697" TargetMode="External"/><Relationship Id="rId226" Type="http://schemas.openxmlformats.org/officeDocument/2006/relationships/hyperlink" Target="https://jira.igm.tools/browse/EA-524" TargetMode="External"/><Relationship Id="rId247" Type="http://schemas.openxmlformats.org/officeDocument/2006/relationships/hyperlink" Target="https://jira.igm.tools/browse/EA-74" TargetMode="External"/><Relationship Id="rId107" Type="http://schemas.openxmlformats.org/officeDocument/2006/relationships/hyperlink" Target="https://jira.igm.tools/browse/EA-1034" TargetMode="External"/><Relationship Id="rId11" Type="http://schemas.openxmlformats.org/officeDocument/2006/relationships/hyperlink" Target="https://jira.igm.tools/browse/EA-1241" TargetMode="External"/><Relationship Id="rId32" Type="http://schemas.openxmlformats.org/officeDocument/2006/relationships/hyperlink" Target="https://jira.igm.tools/browse/EA-1206" TargetMode="External"/><Relationship Id="rId53" Type="http://schemas.openxmlformats.org/officeDocument/2006/relationships/hyperlink" Target="https://jira.igm.tools/browse/EA-1142" TargetMode="External"/><Relationship Id="rId74" Type="http://schemas.openxmlformats.org/officeDocument/2006/relationships/hyperlink" Target="https://jira.igm.tools/browse/EA-1099" TargetMode="External"/><Relationship Id="rId128" Type="http://schemas.openxmlformats.org/officeDocument/2006/relationships/hyperlink" Target="https://jira.igm.tools/browse/EA-966" TargetMode="External"/><Relationship Id="rId149" Type="http://schemas.openxmlformats.org/officeDocument/2006/relationships/hyperlink" Target="https://jira.igm.tools/browse/EA-907" TargetMode="External"/><Relationship Id="rId5" Type="http://schemas.openxmlformats.org/officeDocument/2006/relationships/hyperlink" Target="https://jira.igm.tools/browse/MOP-21" TargetMode="External"/><Relationship Id="rId95" Type="http://schemas.openxmlformats.org/officeDocument/2006/relationships/hyperlink" Target="https://jira.igm.tools/browse/EA-1053" TargetMode="External"/><Relationship Id="rId160" Type="http://schemas.openxmlformats.org/officeDocument/2006/relationships/hyperlink" Target="https://jira.igm.tools/browse/EA-869" TargetMode="External"/><Relationship Id="rId181" Type="http://schemas.openxmlformats.org/officeDocument/2006/relationships/hyperlink" Target="https://jira.igm.tools/browse/EA-776" TargetMode="External"/><Relationship Id="rId216" Type="http://schemas.openxmlformats.org/officeDocument/2006/relationships/hyperlink" Target="https://jira.igm.tools/browse/EA-578" TargetMode="External"/><Relationship Id="rId237" Type="http://schemas.openxmlformats.org/officeDocument/2006/relationships/hyperlink" Target="https://jira.igm.tools/browse/EA-359" TargetMode="External"/><Relationship Id="rId22" Type="http://schemas.openxmlformats.org/officeDocument/2006/relationships/hyperlink" Target="https://jira.igm.tools/browse/EA-1221" TargetMode="External"/><Relationship Id="rId43" Type="http://schemas.openxmlformats.org/officeDocument/2006/relationships/hyperlink" Target="https://jira.igm.tools/browse/EA-1185" TargetMode="External"/><Relationship Id="rId64" Type="http://schemas.openxmlformats.org/officeDocument/2006/relationships/hyperlink" Target="https://jira.igm.tools/browse/EA-1127" TargetMode="External"/><Relationship Id="rId118" Type="http://schemas.openxmlformats.org/officeDocument/2006/relationships/hyperlink" Target="https://jira.igm.tools/browse/EA-1000" TargetMode="External"/><Relationship Id="rId139" Type="http://schemas.openxmlformats.org/officeDocument/2006/relationships/hyperlink" Target="https://jira.igm.tools/browse/EA-933" TargetMode="External"/><Relationship Id="rId85" Type="http://schemas.openxmlformats.org/officeDocument/2006/relationships/hyperlink" Target="https://jira.igm.tools/browse/EA-1081" TargetMode="External"/><Relationship Id="rId150" Type="http://schemas.openxmlformats.org/officeDocument/2006/relationships/hyperlink" Target="https://jira.igm.tools/browse/EA-904" TargetMode="External"/><Relationship Id="rId171" Type="http://schemas.openxmlformats.org/officeDocument/2006/relationships/hyperlink" Target="https://jira.igm.tools/browse/EA-809" TargetMode="External"/><Relationship Id="rId192" Type="http://schemas.openxmlformats.org/officeDocument/2006/relationships/hyperlink" Target="https://jira.igm.tools/browse/EA-746" TargetMode="External"/><Relationship Id="rId206" Type="http://schemas.openxmlformats.org/officeDocument/2006/relationships/hyperlink" Target="https://jira.igm.tools/browse/EA-695" TargetMode="External"/><Relationship Id="rId227" Type="http://schemas.openxmlformats.org/officeDocument/2006/relationships/hyperlink" Target="https://jira.igm.tools/browse/EA-503" TargetMode="External"/><Relationship Id="rId248" Type="http://schemas.openxmlformats.org/officeDocument/2006/relationships/printerSettings" Target="../printerSettings/printerSettings1.bin"/><Relationship Id="rId12" Type="http://schemas.openxmlformats.org/officeDocument/2006/relationships/hyperlink" Target="https://jira.igm.tools/browse/EA-1238" TargetMode="External"/><Relationship Id="rId33" Type="http://schemas.openxmlformats.org/officeDocument/2006/relationships/hyperlink" Target="https://jira.igm.tools/browse/EA-1205" TargetMode="External"/><Relationship Id="rId108" Type="http://schemas.openxmlformats.org/officeDocument/2006/relationships/hyperlink" Target="https://jira.igm.tools/browse/EA-1032" TargetMode="External"/><Relationship Id="rId129" Type="http://schemas.openxmlformats.org/officeDocument/2006/relationships/hyperlink" Target="https://jira.igm.tools/browse/EA-964" TargetMode="External"/><Relationship Id="rId54" Type="http://schemas.openxmlformats.org/officeDocument/2006/relationships/hyperlink" Target="https://jira.igm.tools/browse/EA-1141" TargetMode="External"/><Relationship Id="rId75" Type="http://schemas.openxmlformats.org/officeDocument/2006/relationships/hyperlink" Target="https://jira.igm.tools/browse/EA-1097" TargetMode="External"/><Relationship Id="rId96" Type="http://schemas.openxmlformats.org/officeDocument/2006/relationships/hyperlink" Target="https://jira.igm.tools/browse/EA-1052" TargetMode="External"/><Relationship Id="rId140" Type="http://schemas.openxmlformats.org/officeDocument/2006/relationships/hyperlink" Target="https://jira.igm.tools/browse/EA-932" TargetMode="External"/><Relationship Id="rId161" Type="http://schemas.openxmlformats.org/officeDocument/2006/relationships/hyperlink" Target="https://jira.igm.tools/browse/EA-862" TargetMode="External"/><Relationship Id="rId182" Type="http://schemas.openxmlformats.org/officeDocument/2006/relationships/hyperlink" Target="https://jira.igm.tools/browse/EA-775" TargetMode="External"/><Relationship Id="rId217" Type="http://schemas.openxmlformats.org/officeDocument/2006/relationships/hyperlink" Target="https://jira.igm.tools/browse/EA-576" TargetMode="External"/><Relationship Id="rId6" Type="http://schemas.openxmlformats.org/officeDocument/2006/relationships/hyperlink" Target="https://jira.igm.tools/browse/MOP-20" TargetMode="External"/><Relationship Id="rId238" Type="http://schemas.openxmlformats.org/officeDocument/2006/relationships/hyperlink" Target="https://jira.igm.tools/browse/EA-349" TargetMode="External"/><Relationship Id="rId23" Type="http://schemas.openxmlformats.org/officeDocument/2006/relationships/hyperlink" Target="https://jira.igm.tools/browse/EA-1219" TargetMode="External"/><Relationship Id="rId119" Type="http://schemas.openxmlformats.org/officeDocument/2006/relationships/hyperlink" Target="https://jira.igm.tools/browse/EA-998" TargetMode="External"/><Relationship Id="rId44" Type="http://schemas.openxmlformats.org/officeDocument/2006/relationships/hyperlink" Target="https://jira.igm.tools/browse/EA-1184" TargetMode="External"/><Relationship Id="rId65" Type="http://schemas.openxmlformats.org/officeDocument/2006/relationships/hyperlink" Target="https://jira.igm.tools/browse/EA-1125" TargetMode="External"/><Relationship Id="rId86" Type="http://schemas.openxmlformats.org/officeDocument/2006/relationships/hyperlink" Target="https://jira.igm.tools/browse/EA-1078" TargetMode="External"/><Relationship Id="rId130" Type="http://schemas.openxmlformats.org/officeDocument/2006/relationships/hyperlink" Target="https://jira.igm.tools/browse/EA-959" TargetMode="External"/><Relationship Id="rId151" Type="http://schemas.openxmlformats.org/officeDocument/2006/relationships/hyperlink" Target="https://jira.igm.tools/browse/EA-902" TargetMode="External"/><Relationship Id="rId172" Type="http://schemas.openxmlformats.org/officeDocument/2006/relationships/hyperlink" Target="https://jira.igm.tools/browse/EA-806" TargetMode="External"/><Relationship Id="rId193" Type="http://schemas.openxmlformats.org/officeDocument/2006/relationships/hyperlink" Target="https://jira.igm.tools/browse/EA-744" TargetMode="External"/><Relationship Id="rId207" Type="http://schemas.openxmlformats.org/officeDocument/2006/relationships/hyperlink" Target="https://jira.igm.tools/browse/EA-691" TargetMode="External"/><Relationship Id="rId228" Type="http://schemas.openxmlformats.org/officeDocument/2006/relationships/hyperlink" Target="https://jira.igm.tools/browse/EA-453" TargetMode="External"/><Relationship Id="rId249" Type="http://schemas.openxmlformats.org/officeDocument/2006/relationships/table" Target="../tables/table1.xml"/><Relationship Id="rId13" Type="http://schemas.openxmlformats.org/officeDocument/2006/relationships/hyperlink" Target="https://jira.igm.tools/browse/EA-1237" TargetMode="External"/><Relationship Id="rId109" Type="http://schemas.openxmlformats.org/officeDocument/2006/relationships/hyperlink" Target="https://jira.igm.tools/browse/EA-1025" TargetMode="External"/><Relationship Id="rId34" Type="http://schemas.openxmlformats.org/officeDocument/2006/relationships/hyperlink" Target="https://jira.igm.tools/browse/EA-1204" TargetMode="External"/><Relationship Id="rId55" Type="http://schemas.openxmlformats.org/officeDocument/2006/relationships/hyperlink" Target="https://jira.igm.tools/browse/EA-1140" TargetMode="External"/><Relationship Id="rId76" Type="http://schemas.openxmlformats.org/officeDocument/2006/relationships/hyperlink" Target="https://jira.igm.tools/browse/EA-1096" TargetMode="External"/><Relationship Id="rId97" Type="http://schemas.openxmlformats.org/officeDocument/2006/relationships/hyperlink" Target="https://jira.igm.tools/browse/EA-1051" TargetMode="External"/><Relationship Id="rId120" Type="http://schemas.openxmlformats.org/officeDocument/2006/relationships/hyperlink" Target="https://jira.igm.tools/browse/EA-996" TargetMode="External"/><Relationship Id="rId141" Type="http://schemas.openxmlformats.org/officeDocument/2006/relationships/hyperlink" Target="https://jira.igm.tools/browse/EA-931" TargetMode="External"/><Relationship Id="rId7" Type="http://schemas.openxmlformats.org/officeDocument/2006/relationships/hyperlink" Target="https://jira.igm.tools/browse/EA-1245" TargetMode="External"/><Relationship Id="rId162" Type="http://schemas.openxmlformats.org/officeDocument/2006/relationships/hyperlink" Target="https://jira.igm.tools/browse/EA-857" TargetMode="External"/><Relationship Id="rId183" Type="http://schemas.openxmlformats.org/officeDocument/2006/relationships/hyperlink" Target="https://jira.igm.tools/browse/EA-773" TargetMode="External"/><Relationship Id="rId218" Type="http://schemas.openxmlformats.org/officeDocument/2006/relationships/hyperlink" Target="https://jira.igm.tools/browse/EA-575" TargetMode="External"/><Relationship Id="rId239" Type="http://schemas.openxmlformats.org/officeDocument/2006/relationships/hyperlink" Target="https://jira.igm.tools/browse/EA-347" TargetMode="External"/><Relationship Id="rId24" Type="http://schemas.openxmlformats.org/officeDocument/2006/relationships/hyperlink" Target="https://jira.igm.tools/browse/EA-1217" TargetMode="External"/><Relationship Id="rId45" Type="http://schemas.openxmlformats.org/officeDocument/2006/relationships/hyperlink" Target="https://jira.igm.tools/browse/EA-1182" TargetMode="External"/><Relationship Id="rId66" Type="http://schemas.openxmlformats.org/officeDocument/2006/relationships/hyperlink" Target="https://jira.igm.tools/browse/EA-1121" TargetMode="External"/><Relationship Id="rId87" Type="http://schemas.openxmlformats.org/officeDocument/2006/relationships/hyperlink" Target="https://jira.igm.tools/browse/EA-1077" TargetMode="External"/><Relationship Id="rId110" Type="http://schemas.openxmlformats.org/officeDocument/2006/relationships/hyperlink" Target="https://jira.igm.tools/browse/EA-1023" TargetMode="External"/><Relationship Id="rId131" Type="http://schemas.openxmlformats.org/officeDocument/2006/relationships/hyperlink" Target="https://jira.igm.tools/browse/EA-955" TargetMode="External"/><Relationship Id="rId152" Type="http://schemas.openxmlformats.org/officeDocument/2006/relationships/hyperlink" Target="https://jira.igm.tools/browse/EA-897" TargetMode="External"/><Relationship Id="rId173" Type="http://schemas.openxmlformats.org/officeDocument/2006/relationships/hyperlink" Target="https://jira.igm.tools/browse/EA-796" TargetMode="External"/><Relationship Id="rId194" Type="http://schemas.openxmlformats.org/officeDocument/2006/relationships/hyperlink" Target="https://jira.igm.tools/browse/EA-740" TargetMode="External"/><Relationship Id="rId208" Type="http://schemas.openxmlformats.org/officeDocument/2006/relationships/hyperlink" Target="https://jira.igm.tools/browse/EA-657" TargetMode="External"/><Relationship Id="rId229" Type="http://schemas.openxmlformats.org/officeDocument/2006/relationships/hyperlink" Target="https://jira.igm.tools/browse/EA-446" TargetMode="External"/><Relationship Id="rId240" Type="http://schemas.openxmlformats.org/officeDocument/2006/relationships/hyperlink" Target="https://jira.igm.tools/browse/EA-322" TargetMode="External"/><Relationship Id="rId14" Type="http://schemas.openxmlformats.org/officeDocument/2006/relationships/hyperlink" Target="https://jira.igm.tools/browse/EA-1236" TargetMode="External"/><Relationship Id="rId35" Type="http://schemas.openxmlformats.org/officeDocument/2006/relationships/hyperlink" Target="https://jira.igm.tools/browse/EA-1202" TargetMode="External"/><Relationship Id="rId56" Type="http://schemas.openxmlformats.org/officeDocument/2006/relationships/hyperlink" Target="https://jira.igm.tools/browse/EA-1139" TargetMode="External"/><Relationship Id="rId77" Type="http://schemas.openxmlformats.org/officeDocument/2006/relationships/hyperlink" Target="https://jira.igm.tools/browse/EA-1095" TargetMode="External"/><Relationship Id="rId100" Type="http://schemas.openxmlformats.org/officeDocument/2006/relationships/hyperlink" Target="https://jira.igm.tools/browse/EA-1044" TargetMode="External"/><Relationship Id="rId8" Type="http://schemas.openxmlformats.org/officeDocument/2006/relationships/hyperlink" Target="https://jira.igm.tools/browse/EA-1244" TargetMode="External"/><Relationship Id="rId98" Type="http://schemas.openxmlformats.org/officeDocument/2006/relationships/hyperlink" Target="https://jira.igm.tools/browse/EA-1050" TargetMode="External"/><Relationship Id="rId121" Type="http://schemas.openxmlformats.org/officeDocument/2006/relationships/hyperlink" Target="https://jira.igm.tools/browse/EA-994" TargetMode="External"/><Relationship Id="rId142" Type="http://schemas.openxmlformats.org/officeDocument/2006/relationships/hyperlink" Target="https://jira.igm.tools/browse/EA-930" TargetMode="External"/><Relationship Id="rId163" Type="http://schemas.openxmlformats.org/officeDocument/2006/relationships/hyperlink" Target="https://jira.igm.tools/browse/EA-850" TargetMode="External"/><Relationship Id="rId184" Type="http://schemas.openxmlformats.org/officeDocument/2006/relationships/hyperlink" Target="https://jira.igm.tools/browse/EA-772" TargetMode="External"/><Relationship Id="rId219" Type="http://schemas.openxmlformats.org/officeDocument/2006/relationships/hyperlink" Target="https://jira.igm.tools/browse/EA-573" TargetMode="External"/><Relationship Id="rId230" Type="http://schemas.openxmlformats.org/officeDocument/2006/relationships/hyperlink" Target="https://jira.igm.tools/browse/EA-394" TargetMode="External"/><Relationship Id="rId25" Type="http://schemas.openxmlformats.org/officeDocument/2006/relationships/hyperlink" Target="https://jira.igm.tools/browse/EA-1215" TargetMode="External"/><Relationship Id="rId46" Type="http://schemas.openxmlformats.org/officeDocument/2006/relationships/hyperlink" Target="https://jira.igm.tools/browse/EA-1180" TargetMode="External"/><Relationship Id="rId67" Type="http://schemas.openxmlformats.org/officeDocument/2006/relationships/hyperlink" Target="https://jira.igm.tools/browse/EA-1120" TargetMode="External"/><Relationship Id="rId88" Type="http://schemas.openxmlformats.org/officeDocument/2006/relationships/hyperlink" Target="https://jira.igm.tools/browse/EA-1076" TargetMode="External"/><Relationship Id="rId111" Type="http://schemas.openxmlformats.org/officeDocument/2006/relationships/hyperlink" Target="https://jira.igm.tools/browse/EA-1018" TargetMode="External"/><Relationship Id="rId132" Type="http://schemas.openxmlformats.org/officeDocument/2006/relationships/hyperlink" Target="https://jira.igm.tools/browse/EA-953" TargetMode="External"/><Relationship Id="rId153" Type="http://schemas.openxmlformats.org/officeDocument/2006/relationships/hyperlink" Target="https://jira.igm.tools/browse/EA-896" TargetMode="External"/><Relationship Id="rId174" Type="http://schemas.openxmlformats.org/officeDocument/2006/relationships/hyperlink" Target="https://jira.igm.tools/browse/EA-793" TargetMode="External"/><Relationship Id="rId195" Type="http://schemas.openxmlformats.org/officeDocument/2006/relationships/hyperlink" Target="https://jira.igm.tools/browse/EA-739" TargetMode="External"/><Relationship Id="rId209" Type="http://schemas.openxmlformats.org/officeDocument/2006/relationships/hyperlink" Target="https://jira.igm.tools/browse/EA-655" TargetMode="External"/><Relationship Id="rId220" Type="http://schemas.openxmlformats.org/officeDocument/2006/relationships/hyperlink" Target="https://jira.igm.tools/browse/EA-572" TargetMode="External"/><Relationship Id="rId241" Type="http://schemas.openxmlformats.org/officeDocument/2006/relationships/hyperlink" Target="https://jira.igm.tools/browse/EA-295" TargetMode="External"/><Relationship Id="rId15" Type="http://schemas.openxmlformats.org/officeDocument/2006/relationships/hyperlink" Target="https://jira.igm.tools/browse/EA-1235" TargetMode="External"/><Relationship Id="rId36" Type="http://schemas.openxmlformats.org/officeDocument/2006/relationships/hyperlink" Target="https://jira.igm.tools/browse/EA-1198" TargetMode="External"/><Relationship Id="rId57" Type="http://schemas.openxmlformats.org/officeDocument/2006/relationships/hyperlink" Target="https://jira.igm.tools/browse/EA-1138" TargetMode="External"/><Relationship Id="rId78" Type="http://schemas.openxmlformats.org/officeDocument/2006/relationships/hyperlink" Target="https://jira.igm.tools/browse/EA-1094" TargetMode="External"/><Relationship Id="rId99" Type="http://schemas.openxmlformats.org/officeDocument/2006/relationships/hyperlink" Target="https://jira.igm.tools/browse/EA-1048" TargetMode="External"/><Relationship Id="rId101" Type="http://schemas.openxmlformats.org/officeDocument/2006/relationships/hyperlink" Target="https://jira.igm.tools/browse/EA-1043" TargetMode="External"/><Relationship Id="rId122" Type="http://schemas.openxmlformats.org/officeDocument/2006/relationships/hyperlink" Target="https://jira.igm.tools/browse/EA-993" TargetMode="External"/><Relationship Id="rId143" Type="http://schemas.openxmlformats.org/officeDocument/2006/relationships/hyperlink" Target="https://jira.igm.tools/browse/EA-923" TargetMode="External"/><Relationship Id="rId164" Type="http://schemas.openxmlformats.org/officeDocument/2006/relationships/hyperlink" Target="https://jira.igm.tools/browse/EA-848" TargetMode="External"/><Relationship Id="rId185" Type="http://schemas.openxmlformats.org/officeDocument/2006/relationships/hyperlink" Target="https://jira.igm.tools/browse/EA-770" TargetMode="External"/><Relationship Id="rId4" Type="http://schemas.openxmlformats.org/officeDocument/2006/relationships/hyperlink" Target="https://jira.igm.tools/browse/MOP-22" TargetMode="External"/><Relationship Id="rId9" Type="http://schemas.openxmlformats.org/officeDocument/2006/relationships/hyperlink" Target="https://jira.igm.tools/browse/EA-1243" TargetMode="External"/><Relationship Id="rId180" Type="http://schemas.openxmlformats.org/officeDocument/2006/relationships/hyperlink" Target="https://jira.igm.tools/browse/EA-781" TargetMode="External"/><Relationship Id="rId210" Type="http://schemas.openxmlformats.org/officeDocument/2006/relationships/hyperlink" Target="https://jira.igm.tools/browse/EA-649" TargetMode="External"/><Relationship Id="rId215" Type="http://schemas.openxmlformats.org/officeDocument/2006/relationships/hyperlink" Target="https://jira.igm.tools/browse/EA-579" TargetMode="External"/><Relationship Id="rId236" Type="http://schemas.openxmlformats.org/officeDocument/2006/relationships/hyperlink" Target="https://jira.igm.tools/browse/EA-362" TargetMode="External"/><Relationship Id="rId26" Type="http://schemas.openxmlformats.org/officeDocument/2006/relationships/hyperlink" Target="https://jira.igm.tools/browse/EA-1214" TargetMode="External"/><Relationship Id="rId231" Type="http://schemas.openxmlformats.org/officeDocument/2006/relationships/hyperlink" Target="https://jira.igm.tools/browse/EA-382" TargetMode="External"/><Relationship Id="rId47" Type="http://schemas.openxmlformats.org/officeDocument/2006/relationships/hyperlink" Target="https://jira.igm.tools/browse/EA-1179" TargetMode="External"/><Relationship Id="rId68" Type="http://schemas.openxmlformats.org/officeDocument/2006/relationships/hyperlink" Target="https://jira.igm.tools/browse/EA-1116" TargetMode="External"/><Relationship Id="rId89" Type="http://schemas.openxmlformats.org/officeDocument/2006/relationships/hyperlink" Target="https://jira.igm.tools/browse/EA-1069" TargetMode="External"/><Relationship Id="rId112" Type="http://schemas.openxmlformats.org/officeDocument/2006/relationships/hyperlink" Target="https://jira.igm.tools/browse/EA-1017" TargetMode="External"/><Relationship Id="rId133" Type="http://schemas.openxmlformats.org/officeDocument/2006/relationships/hyperlink" Target="https://jira.igm.tools/browse/EA-949" TargetMode="External"/><Relationship Id="rId154" Type="http://schemas.openxmlformats.org/officeDocument/2006/relationships/hyperlink" Target="https://jira.igm.tools/browse/EA-895" TargetMode="External"/><Relationship Id="rId175" Type="http://schemas.openxmlformats.org/officeDocument/2006/relationships/hyperlink" Target="https://jira.igm.tools/browse/EA-792" TargetMode="External"/><Relationship Id="rId196" Type="http://schemas.openxmlformats.org/officeDocument/2006/relationships/hyperlink" Target="https://jira.igm.tools/browse/EA-737" TargetMode="External"/><Relationship Id="rId200" Type="http://schemas.openxmlformats.org/officeDocument/2006/relationships/hyperlink" Target="https://jira.igm.tools/browse/EA-714" TargetMode="External"/><Relationship Id="rId16" Type="http://schemas.openxmlformats.org/officeDocument/2006/relationships/hyperlink" Target="https://jira.igm.tools/browse/EA-1234" TargetMode="External"/><Relationship Id="rId221" Type="http://schemas.openxmlformats.org/officeDocument/2006/relationships/hyperlink" Target="https://jira.igm.tools/browse/EA-566" TargetMode="External"/><Relationship Id="rId242" Type="http://schemas.openxmlformats.org/officeDocument/2006/relationships/hyperlink" Target="https://jira.igm.tools/browse/EA-283" TargetMode="External"/><Relationship Id="rId37" Type="http://schemas.openxmlformats.org/officeDocument/2006/relationships/hyperlink" Target="https://jira.igm.tools/browse/EA-1197" TargetMode="External"/><Relationship Id="rId58" Type="http://schemas.openxmlformats.org/officeDocument/2006/relationships/hyperlink" Target="https://jira.igm.tools/browse/EA-1137" TargetMode="External"/><Relationship Id="rId79" Type="http://schemas.openxmlformats.org/officeDocument/2006/relationships/hyperlink" Target="https://jira.igm.tools/browse/EA-1093" TargetMode="External"/><Relationship Id="rId102" Type="http://schemas.openxmlformats.org/officeDocument/2006/relationships/hyperlink" Target="https://jira.igm.tools/browse/EA-1042" TargetMode="External"/><Relationship Id="rId123" Type="http://schemas.openxmlformats.org/officeDocument/2006/relationships/hyperlink" Target="https://jira.igm.tools/browse/EA-986" TargetMode="External"/><Relationship Id="rId144" Type="http://schemas.openxmlformats.org/officeDocument/2006/relationships/hyperlink" Target="https://jira.igm.tools/browse/EA-922" TargetMode="External"/><Relationship Id="rId90" Type="http://schemas.openxmlformats.org/officeDocument/2006/relationships/hyperlink" Target="https://jira.igm.tools/browse/EA-1067" TargetMode="External"/><Relationship Id="rId165" Type="http://schemas.openxmlformats.org/officeDocument/2006/relationships/hyperlink" Target="https://jira.igm.tools/browse/EA-846" TargetMode="External"/><Relationship Id="rId186" Type="http://schemas.openxmlformats.org/officeDocument/2006/relationships/hyperlink" Target="https://jira.igm.tools/browse/EA-769" TargetMode="External"/><Relationship Id="rId211" Type="http://schemas.openxmlformats.org/officeDocument/2006/relationships/hyperlink" Target="https://jira.igm.tools/browse/EA-600" TargetMode="External"/><Relationship Id="rId232" Type="http://schemas.openxmlformats.org/officeDocument/2006/relationships/hyperlink" Target="https://jira.igm.tools/browse/EA-380" TargetMode="External"/><Relationship Id="rId27" Type="http://schemas.openxmlformats.org/officeDocument/2006/relationships/hyperlink" Target="https://jira.igm.tools/browse/EA-1213" TargetMode="External"/><Relationship Id="rId48" Type="http://schemas.openxmlformats.org/officeDocument/2006/relationships/hyperlink" Target="https://jira.igm.tools/browse/EA-1178" TargetMode="External"/><Relationship Id="rId69" Type="http://schemas.openxmlformats.org/officeDocument/2006/relationships/hyperlink" Target="https://jira.igm.tools/browse/EA-1112" TargetMode="External"/><Relationship Id="rId113" Type="http://schemas.openxmlformats.org/officeDocument/2006/relationships/hyperlink" Target="https://jira.igm.tools/browse/EA-1015" TargetMode="External"/><Relationship Id="rId134" Type="http://schemas.openxmlformats.org/officeDocument/2006/relationships/hyperlink" Target="https://jira.igm.tools/browse/EA-946" TargetMode="External"/><Relationship Id="rId80" Type="http://schemas.openxmlformats.org/officeDocument/2006/relationships/hyperlink" Target="https://jira.igm.tools/browse/EA-1092" TargetMode="External"/><Relationship Id="rId155" Type="http://schemas.openxmlformats.org/officeDocument/2006/relationships/hyperlink" Target="https://jira.igm.tools/browse/EA-893" TargetMode="External"/><Relationship Id="rId176" Type="http://schemas.openxmlformats.org/officeDocument/2006/relationships/hyperlink" Target="https://jira.igm.tools/browse/EA-791" TargetMode="External"/><Relationship Id="rId197" Type="http://schemas.openxmlformats.org/officeDocument/2006/relationships/hyperlink" Target="https://jira.igm.tools/browse/EA-734" TargetMode="External"/><Relationship Id="rId201" Type="http://schemas.openxmlformats.org/officeDocument/2006/relationships/hyperlink" Target="https://jira.igm.tools/browse/EA-704" TargetMode="External"/><Relationship Id="rId222" Type="http://schemas.openxmlformats.org/officeDocument/2006/relationships/hyperlink" Target="https://jira.igm.tools/browse/EA-559" TargetMode="External"/><Relationship Id="rId243" Type="http://schemas.openxmlformats.org/officeDocument/2006/relationships/hyperlink" Target="https://jira.igm.tools/browse/EA-195" TargetMode="External"/><Relationship Id="rId17" Type="http://schemas.openxmlformats.org/officeDocument/2006/relationships/hyperlink" Target="https://jira.igm.tools/browse/EA-1233" TargetMode="External"/><Relationship Id="rId38" Type="http://schemas.openxmlformats.org/officeDocument/2006/relationships/hyperlink" Target="https://jira.igm.tools/browse/EA-1193" TargetMode="External"/><Relationship Id="rId59" Type="http://schemas.openxmlformats.org/officeDocument/2006/relationships/hyperlink" Target="https://jira.igm.tools/browse/EA-1136" TargetMode="External"/><Relationship Id="rId103" Type="http://schemas.openxmlformats.org/officeDocument/2006/relationships/hyperlink" Target="https://jira.igm.tools/browse/EA-1041" TargetMode="External"/><Relationship Id="rId124" Type="http://schemas.openxmlformats.org/officeDocument/2006/relationships/hyperlink" Target="https://jira.igm.tools/browse/EA-982" TargetMode="External"/><Relationship Id="rId70" Type="http://schemas.openxmlformats.org/officeDocument/2006/relationships/hyperlink" Target="https://jira.igm.tools/browse/EA-1106" TargetMode="External"/><Relationship Id="rId91" Type="http://schemas.openxmlformats.org/officeDocument/2006/relationships/hyperlink" Target="https://jira.igm.tools/browse/EA-1066" TargetMode="External"/><Relationship Id="rId145" Type="http://schemas.openxmlformats.org/officeDocument/2006/relationships/hyperlink" Target="https://jira.igm.tools/browse/EA-921" TargetMode="External"/><Relationship Id="rId166" Type="http://schemas.openxmlformats.org/officeDocument/2006/relationships/hyperlink" Target="https://jira.igm.tools/browse/EA-841" TargetMode="External"/><Relationship Id="rId187" Type="http://schemas.openxmlformats.org/officeDocument/2006/relationships/hyperlink" Target="https://jira.igm.tools/browse/EA-768" TargetMode="External"/><Relationship Id="rId1" Type="http://schemas.openxmlformats.org/officeDocument/2006/relationships/hyperlink" Target="https://jira.igm.tools/browse/MOP-25" TargetMode="External"/><Relationship Id="rId212" Type="http://schemas.openxmlformats.org/officeDocument/2006/relationships/hyperlink" Target="https://jira.igm.tools/browse/EA-586" TargetMode="External"/><Relationship Id="rId233" Type="http://schemas.openxmlformats.org/officeDocument/2006/relationships/hyperlink" Target="https://jira.igm.tools/browse/EA-379" TargetMode="External"/><Relationship Id="rId28" Type="http://schemas.openxmlformats.org/officeDocument/2006/relationships/hyperlink" Target="https://jira.igm.tools/browse/EA-1212" TargetMode="External"/><Relationship Id="rId49" Type="http://schemas.openxmlformats.org/officeDocument/2006/relationships/hyperlink" Target="https://jira.igm.tools/browse/EA-1177" TargetMode="External"/><Relationship Id="rId114" Type="http://schemas.openxmlformats.org/officeDocument/2006/relationships/hyperlink" Target="https://jira.igm.tools/browse/EA-1011" TargetMode="External"/><Relationship Id="rId60" Type="http://schemas.openxmlformats.org/officeDocument/2006/relationships/hyperlink" Target="https://jira.igm.tools/browse/EA-1135" TargetMode="External"/><Relationship Id="rId81" Type="http://schemas.openxmlformats.org/officeDocument/2006/relationships/hyperlink" Target="https://jira.igm.tools/browse/EA-1090" TargetMode="External"/><Relationship Id="rId135" Type="http://schemas.openxmlformats.org/officeDocument/2006/relationships/hyperlink" Target="https://jira.igm.tools/browse/EA-940" TargetMode="External"/><Relationship Id="rId156" Type="http://schemas.openxmlformats.org/officeDocument/2006/relationships/hyperlink" Target="https://jira.igm.tools/browse/EA-892" TargetMode="External"/><Relationship Id="rId177" Type="http://schemas.openxmlformats.org/officeDocument/2006/relationships/hyperlink" Target="https://jira.igm.tools/browse/EA-789" TargetMode="External"/><Relationship Id="rId198" Type="http://schemas.openxmlformats.org/officeDocument/2006/relationships/hyperlink" Target="https://jira.igm.tools/browse/EA-719" TargetMode="External"/><Relationship Id="rId202" Type="http://schemas.openxmlformats.org/officeDocument/2006/relationships/hyperlink" Target="https://jira.igm.tools/browse/EA-703" TargetMode="External"/><Relationship Id="rId223" Type="http://schemas.openxmlformats.org/officeDocument/2006/relationships/hyperlink" Target="https://jira.igm.tools/browse/EA-544" TargetMode="External"/><Relationship Id="rId244" Type="http://schemas.openxmlformats.org/officeDocument/2006/relationships/hyperlink" Target="https://jira.igm.tools/browse/EA-178" TargetMode="External"/><Relationship Id="rId18" Type="http://schemas.openxmlformats.org/officeDocument/2006/relationships/hyperlink" Target="https://jira.igm.tools/browse/EA-1232" TargetMode="External"/><Relationship Id="rId39" Type="http://schemas.openxmlformats.org/officeDocument/2006/relationships/hyperlink" Target="https://jira.igm.tools/browse/EA-1192" TargetMode="External"/><Relationship Id="rId50" Type="http://schemas.openxmlformats.org/officeDocument/2006/relationships/hyperlink" Target="https://jira.igm.tools/browse/EA-1146" TargetMode="External"/><Relationship Id="rId104" Type="http://schemas.openxmlformats.org/officeDocument/2006/relationships/hyperlink" Target="https://jira.igm.tools/browse/EA-1040" TargetMode="External"/><Relationship Id="rId125" Type="http://schemas.openxmlformats.org/officeDocument/2006/relationships/hyperlink" Target="https://jira.igm.tools/browse/EA-976" TargetMode="External"/><Relationship Id="rId146" Type="http://schemas.openxmlformats.org/officeDocument/2006/relationships/hyperlink" Target="https://jira.igm.tools/browse/EA-916" TargetMode="External"/><Relationship Id="rId167" Type="http://schemas.openxmlformats.org/officeDocument/2006/relationships/hyperlink" Target="https://jira.igm.tools/browse/EA-840" TargetMode="External"/><Relationship Id="rId188" Type="http://schemas.openxmlformats.org/officeDocument/2006/relationships/hyperlink" Target="https://jira.igm.tools/browse/EA-764" TargetMode="External"/><Relationship Id="rId71" Type="http://schemas.openxmlformats.org/officeDocument/2006/relationships/hyperlink" Target="https://jira.igm.tools/browse/EA-1103" TargetMode="External"/><Relationship Id="rId92" Type="http://schemas.openxmlformats.org/officeDocument/2006/relationships/hyperlink" Target="https://jira.igm.tools/browse/EA-1063" TargetMode="External"/><Relationship Id="rId213" Type="http://schemas.openxmlformats.org/officeDocument/2006/relationships/hyperlink" Target="https://jira.igm.tools/browse/EA-584" TargetMode="External"/><Relationship Id="rId234" Type="http://schemas.openxmlformats.org/officeDocument/2006/relationships/hyperlink" Target="https://jira.igm.tools/browse/EA-378" TargetMode="External"/><Relationship Id="rId2" Type="http://schemas.openxmlformats.org/officeDocument/2006/relationships/hyperlink" Target="https://jira.igm.tools/browse/MOP-24" TargetMode="External"/><Relationship Id="rId29" Type="http://schemas.openxmlformats.org/officeDocument/2006/relationships/hyperlink" Target="https://jira.igm.tools/browse/EA-1211" TargetMode="External"/><Relationship Id="rId40" Type="http://schemas.openxmlformats.org/officeDocument/2006/relationships/hyperlink" Target="https://jira.igm.tools/browse/EA-1191" TargetMode="External"/><Relationship Id="rId115" Type="http://schemas.openxmlformats.org/officeDocument/2006/relationships/hyperlink" Target="https://jira.igm.tools/browse/EA-1008" TargetMode="External"/><Relationship Id="rId136" Type="http://schemas.openxmlformats.org/officeDocument/2006/relationships/hyperlink" Target="https://jira.igm.tools/browse/EA-936" TargetMode="External"/><Relationship Id="rId157" Type="http://schemas.openxmlformats.org/officeDocument/2006/relationships/hyperlink" Target="https://jira.igm.tools/browse/EA-890" TargetMode="External"/><Relationship Id="rId178" Type="http://schemas.openxmlformats.org/officeDocument/2006/relationships/hyperlink" Target="https://jira.igm.tools/browse/EA-784" TargetMode="External"/><Relationship Id="rId61" Type="http://schemas.openxmlformats.org/officeDocument/2006/relationships/hyperlink" Target="https://jira.igm.tools/browse/EA-1131" TargetMode="External"/><Relationship Id="rId82" Type="http://schemas.openxmlformats.org/officeDocument/2006/relationships/hyperlink" Target="https://jira.igm.tools/browse/EA-1088" TargetMode="External"/><Relationship Id="rId199" Type="http://schemas.openxmlformats.org/officeDocument/2006/relationships/hyperlink" Target="https://jira.igm.tools/browse/EA-718" TargetMode="External"/><Relationship Id="rId203" Type="http://schemas.openxmlformats.org/officeDocument/2006/relationships/hyperlink" Target="https://jira.igm.tools/browse/EA-702" TargetMode="External"/><Relationship Id="rId19" Type="http://schemas.openxmlformats.org/officeDocument/2006/relationships/hyperlink" Target="https://jira.igm.tools/browse/EA-1227" TargetMode="External"/><Relationship Id="rId224" Type="http://schemas.openxmlformats.org/officeDocument/2006/relationships/hyperlink" Target="https://jira.igm.tools/browse/EA-534" TargetMode="External"/><Relationship Id="rId245" Type="http://schemas.openxmlformats.org/officeDocument/2006/relationships/hyperlink" Target="https://jira.igm.tools/browse/EA-126" TargetMode="External"/><Relationship Id="rId30" Type="http://schemas.openxmlformats.org/officeDocument/2006/relationships/hyperlink" Target="https://jira.igm.tools/browse/EA-1209" TargetMode="External"/><Relationship Id="rId105" Type="http://schemas.openxmlformats.org/officeDocument/2006/relationships/hyperlink" Target="https://jira.igm.tools/browse/EA-1038" TargetMode="External"/><Relationship Id="rId126" Type="http://schemas.openxmlformats.org/officeDocument/2006/relationships/hyperlink" Target="https://jira.igm.tools/browse/EA-969" TargetMode="External"/><Relationship Id="rId147" Type="http://schemas.openxmlformats.org/officeDocument/2006/relationships/hyperlink" Target="https://jira.igm.tools/browse/EA-911" TargetMode="External"/><Relationship Id="rId168" Type="http://schemas.openxmlformats.org/officeDocument/2006/relationships/hyperlink" Target="https://jira.igm.tools/browse/EA-833" TargetMode="External"/><Relationship Id="rId51" Type="http://schemas.openxmlformats.org/officeDocument/2006/relationships/hyperlink" Target="https://jira.igm.tools/browse/EA-1145" TargetMode="External"/><Relationship Id="rId72" Type="http://schemas.openxmlformats.org/officeDocument/2006/relationships/hyperlink" Target="https://jira.igm.tools/browse/EA-1101" TargetMode="External"/><Relationship Id="rId93" Type="http://schemas.openxmlformats.org/officeDocument/2006/relationships/hyperlink" Target="https://jira.igm.tools/browse/EA-1062" TargetMode="External"/><Relationship Id="rId189" Type="http://schemas.openxmlformats.org/officeDocument/2006/relationships/hyperlink" Target="https://jira.igm.tools/browse/EA-760" TargetMode="External"/><Relationship Id="rId3" Type="http://schemas.openxmlformats.org/officeDocument/2006/relationships/hyperlink" Target="https://jira.igm.tools/browse/MOP-23" TargetMode="External"/><Relationship Id="rId214" Type="http://schemas.openxmlformats.org/officeDocument/2006/relationships/hyperlink" Target="https://jira.igm.tools/browse/EA-580" TargetMode="External"/><Relationship Id="rId235" Type="http://schemas.openxmlformats.org/officeDocument/2006/relationships/hyperlink" Target="https://jira.igm.tools/browse/EA-371" TargetMode="External"/><Relationship Id="rId116" Type="http://schemas.openxmlformats.org/officeDocument/2006/relationships/hyperlink" Target="https://jira.igm.tools/browse/EA-1004" TargetMode="External"/><Relationship Id="rId137" Type="http://schemas.openxmlformats.org/officeDocument/2006/relationships/hyperlink" Target="https://jira.igm.tools/browse/EA-935" TargetMode="External"/><Relationship Id="rId158" Type="http://schemas.openxmlformats.org/officeDocument/2006/relationships/hyperlink" Target="https://jira.igm.tools/browse/EA-888" TargetMode="External"/><Relationship Id="rId20" Type="http://schemas.openxmlformats.org/officeDocument/2006/relationships/hyperlink" Target="https://jira.igm.tools/browse/EA-1226" TargetMode="External"/><Relationship Id="rId41" Type="http://schemas.openxmlformats.org/officeDocument/2006/relationships/hyperlink" Target="https://jira.igm.tools/browse/EA-1189" TargetMode="External"/><Relationship Id="rId62" Type="http://schemas.openxmlformats.org/officeDocument/2006/relationships/hyperlink" Target="https://jira.igm.tools/browse/EA-1130" TargetMode="External"/><Relationship Id="rId83" Type="http://schemas.openxmlformats.org/officeDocument/2006/relationships/hyperlink" Target="https://jira.igm.tools/browse/EA-1087" TargetMode="External"/><Relationship Id="rId179" Type="http://schemas.openxmlformats.org/officeDocument/2006/relationships/hyperlink" Target="https://jira.igm.tools/browse/EA-782" TargetMode="External"/><Relationship Id="rId190" Type="http://schemas.openxmlformats.org/officeDocument/2006/relationships/hyperlink" Target="https://jira.igm.tools/browse/EA-757" TargetMode="External"/><Relationship Id="rId204" Type="http://schemas.openxmlformats.org/officeDocument/2006/relationships/hyperlink" Target="https://jira.igm.tools/browse/EA-698" TargetMode="External"/><Relationship Id="rId225" Type="http://schemas.openxmlformats.org/officeDocument/2006/relationships/hyperlink" Target="https://jira.igm.tools/browse/EA-525" TargetMode="External"/><Relationship Id="rId246" Type="http://schemas.openxmlformats.org/officeDocument/2006/relationships/hyperlink" Target="https://jira.igm.tools/browse/EA-92" TargetMode="External"/><Relationship Id="rId106" Type="http://schemas.openxmlformats.org/officeDocument/2006/relationships/hyperlink" Target="https://jira.igm.tools/browse/EA-1036" TargetMode="External"/><Relationship Id="rId127" Type="http://schemas.openxmlformats.org/officeDocument/2006/relationships/hyperlink" Target="https://jira.igm.tools/browse/EA-968" TargetMode="External"/><Relationship Id="rId10" Type="http://schemas.openxmlformats.org/officeDocument/2006/relationships/hyperlink" Target="https://jira.igm.tools/browse/EA-1242" TargetMode="External"/><Relationship Id="rId31" Type="http://schemas.openxmlformats.org/officeDocument/2006/relationships/hyperlink" Target="https://jira.igm.tools/browse/EA-1208" TargetMode="External"/><Relationship Id="rId52" Type="http://schemas.openxmlformats.org/officeDocument/2006/relationships/hyperlink" Target="https://jira.igm.tools/browse/EA-1144" TargetMode="External"/><Relationship Id="rId73" Type="http://schemas.openxmlformats.org/officeDocument/2006/relationships/hyperlink" Target="https://jira.igm.tools/browse/EA-1100" TargetMode="External"/><Relationship Id="rId94" Type="http://schemas.openxmlformats.org/officeDocument/2006/relationships/hyperlink" Target="https://jira.igm.tools/browse/EA-1058" TargetMode="External"/><Relationship Id="rId148" Type="http://schemas.openxmlformats.org/officeDocument/2006/relationships/hyperlink" Target="https://jira.igm.tools/browse/EA-910" TargetMode="External"/><Relationship Id="rId169" Type="http://schemas.openxmlformats.org/officeDocument/2006/relationships/hyperlink" Target="https://jira.igm.tools/browse/EA-831"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3FD80-B37D-45D4-9745-06D56B14B5C5}">
  <sheetPr codeName="Sheet7">
    <tabColor rgb="FF7030A0"/>
  </sheetPr>
  <dimension ref="A1:P248"/>
  <sheetViews>
    <sheetView tabSelected="1" zoomScaleNormal="100" workbookViewId="0">
      <selection activeCell="O2" sqref="O2"/>
    </sheetView>
  </sheetViews>
  <sheetFormatPr defaultRowHeight="14.5" x14ac:dyDescent="0.35"/>
  <cols>
    <col min="2" max="2" width="12.54296875" customWidth="1"/>
    <col min="3" max="3" width="11.1796875" customWidth="1"/>
    <col min="4" max="4" width="20.54296875" customWidth="1"/>
    <col min="5" max="5" width="11.453125" bestFit="1" customWidth="1"/>
    <col min="6" max="6" width="14.54296875" customWidth="1"/>
    <col min="7" max="7" width="11" customWidth="1"/>
    <col min="8" max="8" width="13.453125" bestFit="1" customWidth="1"/>
    <col min="9" max="9" width="21.54296875" bestFit="1" customWidth="1"/>
    <col min="10" max="10" width="20.1796875" bestFit="1" customWidth="1"/>
    <col min="11" max="11" width="17.26953125" bestFit="1" customWidth="1"/>
    <col min="12" max="12" width="16" customWidth="1"/>
    <col min="13" max="14" width="18.1796875" customWidth="1"/>
    <col min="15" max="15" width="17.1796875" customWidth="1"/>
    <col min="16" max="16" width="20.1796875" customWidth="1"/>
  </cols>
  <sheetData>
    <row r="1" spans="1:16" ht="30.75" customHeight="1" x14ac:dyDescent="0.35">
      <c r="A1" s="3" t="s">
        <v>0</v>
      </c>
      <c r="B1" s="3" t="s">
        <v>1</v>
      </c>
      <c r="C1" s="3" t="s">
        <v>2</v>
      </c>
      <c r="D1" s="2" t="s">
        <v>3</v>
      </c>
      <c r="E1" s="2" t="s">
        <v>4</v>
      </c>
      <c r="F1" s="2" t="s">
        <v>5</v>
      </c>
      <c r="G1" s="2" t="s">
        <v>6</v>
      </c>
      <c r="H1" s="2" t="s">
        <v>7</v>
      </c>
      <c r="I1" s="1" t="s">
        <v>8</v>
      </c>
      <c r="J1" s="2" t="s">
        <v>9</v>
      </c>
      <c r="K1" s="2" t="s">
        <v>10</v>
      </c>
      <c r="L1" s="2" t="s">
        <v>11</v>
      </c>
      <c r="M1" s="2" t="s">
        <v>12</v>
      </c>
      <c r="N1" s="2" t="s">
        <v>13</v>
      </c>
      <c r="O1" s="2" t="s">
        <v>14</v>
      </c>
      <c r="P1" s="8" t="s">
        <v>15</v>
      </c>
    </row>
    <row r="2" spans="1:16" s="5" customFormat="1" ht="28.5" customHeight="1" x14ac:dyDescent="0.25">
      <c r="A2" s="12" t="s">
        <v>16</v>
      </c>
      <c r="B2" s="11" t="s">
        <v>17</v>
      </c>
      <c r="C2" s="13" t="s">
        <v>18</v>
      </c>
      <c r="D2" s="13" t="s">
        <v>19</v>
      </c>
      <c r="E2" s="11" t="s">
        <v>20</v>
      </c>
      <c r="F2" s="13" t="s">
        <v>21</v>
      </c>
      <c r="G2" s="13" t="s">
        <v>22</v>
      </c>
      <c r="H2" s="13" t="s">
        <v>23</v>
      </c>
      <c r="I2" s="13" t="s">
        <v>24</v>
      </c>
      <c r="J2" s="13"/>
      <c r="K2" s="13" t="s">
        <v>23</v>
      </c>
      <c r="L2" s="13"/>
      <c r="M2" s="13" t="s">
        <v>25</v>
      </c>
      <c r="N2" s="13" t="s">
        <v>25</v>
      </c>
      <c r="O2" s="4" t="str">
        <f>VLOOKUP(ALL_Issues2[[#This Row],[EA Epic Link]],Table466[],2,FALSE)</f>
        <v>Corporate Delivery Portfolio</v>
      </c>
      <c r="P2" s="4" t="str">
        <f>_xlfn.XLOOKUP(ALL_Issues2[[#This Row],[Epic Link]], Table35[Other Project Epic Links], Table35[EA Epic Links], ALL_Issues2[[#This Row],[Epic Link]])</f>
        <v>Investment Management</v>
      </c>
    </row>
    <row r="3" spans="1:16" s="5" customFormat="1" ht="28.5" customHeight="1" x14ac:dyDescent="0.25">
      <c r="A3" s="12" t="s">
        <v>26</v>
      </c>
      <c r="B3" s="11" t="s">
        <v>17</v>
      </c>
      <c r="C3" s="13" t="s">
        <v>27</v>
      </c>
      <c r="D3" s="13" t="s">
        <v>28</v>
      </c>
      <c r="E3" s="11" t="s">
        <v>20</v>
      </c>
      <c r="F3" s="13" t="s">
        <v>21</v>
      </c>
      <c r="G3" s="13" t="s">
        <v>22</v>
      </c>
      <c r="H3" s="13" t="s">
        <v>29</v>
      </c>
      <c r="I3" s="13" t="s">
        <v>24</v>
      </c>
      <c r="J3" s="13"/>
      <c r="K3" s="13" t="s">
        <v>23</v>
      </c>
      <c r="L3" s="13"/>
      <c r="M3" s="13" t="s">
        <v>25</v>
      </c>
      <c r="N3" s="13" t="s">
        <v>25</v>
      </c>
      <c r="O3" s="4" t="str">
        <f>VLOOKUP(ALL_Issues2[[#This Row],[EA Epic Link]],Table466[],2,FALSE)</f>
        <v>Corporate Delivery Portfolio</v>
      </c>
      <c r="P3" s="4" t="str">
        <f>_xlfn.XLOOKUP(ALL_Issues2[[#This Row],[Epic Link]], Table35[Other Project Epic Links], Table35[EA Epic Links], ALL_Issues2[[#This Row],[Epic Link]])</f>
        <v>Investment Management</v>
      </c>
    </row>
    <row r="4" spans="1:16" s="5" customFormat="1" ht="28.5" customHeight="1" x14ac:dyDescent="0.25">
      <c r="A4" s="12" t="s">
        <v>30</v>
      </c>
      <c r="B4" s="11" t="s">
        <v>17</v>
      </c>
      <c r="C4" s="13" t="s">
        <v>31</v>
      </c>
      <c r="D4" s="13" t="s">
        <v>32</v>
      </c>
      <c r="E4" s="11" t="s">
        <v>20</v>
      </c>
      <c r="F4" s="13" t="s">
        <v>21</v>
      </c>
      <c r="G4" s="13" t="s">
        <v>22</v>
      </c>
      <c r="H4" s="13" t="s">
        <v>29</v>
      </c>
      <c r="I4" s="13" t="s">
        <v>24</v>
      </c>
      <c r="J4" s="13"/>
      <c r="K4" s="13" t="s">
        <v>23</v>
      </c>
      <c r="L4" s="13"/>
      <c r="M4" s="13" t="s">
        <v>25</v>
      </c>
      <c r="N4" s="13" t="s">
        <v>25</v>
      </c>
      <c r="O4" s="4" t="str">
        <f>VLOOKUP(ALL_Issues2[[#This Row],[EA Epic Link]],Table466[],2,FALSE)</f>
        <v>Corporate Delivery Portfolio</v>
      </c>
      <c r="P4" s="4" t="str">
        <f>_xlfn.XLOOKUP(ALL_Issues2[[#This Row],[Epic Link]], Table35[Other Project Epic Links], Table35[EA Epic Links], ALL_Issues2[[#This Row],[Epic Link]])</f>
        <v>Investment Management</v>
      </c>
    </row>
    <row r="5" spans="1:16" s="5" customFormat="1" ht="28.5" customHeight="1" x14ac:dyDescent="0.25">
      <c r="A5" s="12" t="s">
        <v>33</v>
      </c>
      <c r="B5" s="11" t="s">
        <v>17</v>
      </c>
      <c r="C5" s="13" t="s">
        <v>34</v>
      </c>
      <c r="D5" s="13" t="s">
        <v>35</v>
      </c>
      <c r="E5" s="11" t="s">
        <v>20</v>
      </c>
      <c r="F5" s="13" t="s">
        <v>21</v>
      </c>
      <c r="G5" s="13" t="s">
        <v>22</v>
      </c>
      <c r="H5" s="13" t="s">
        <v>29</v>
      </c>
      <c r="I5" s="13" t="s">
        <v>36</v>
      </c>
      <c r="J5" s="13"/>
      <c r="K5" s="13" t="s">
        <v>23</v>
      </c>
      <c r="L5" s="13"/>
      <c r="M5" s="13" t="s">
        <v>25</v>
      </c>
      <c r="N5" s="13" t="s">
        <v>25</v>
      </c>
      <c r="O5" s="4" t="str">
        <f>VLOOKUP(ALL_Issues2[[#This Row],[EA Epic Link]],Table466[],2,FALSE)</f>
        <v>Corporate Delivery Portfolio</v>
      </c>
      <c r="P5" s="4" t="str">
        <f>_xlfn.XLOOKUP(ALL_Issues2[[#This Row],[Epic Link]], Table35[Other Project Epic Links], Table35[EA Epic Links], ALL_Issues2[[#This Row],[Epic Link]])</f>
        <v>Investment Management</v>
      </c>
    </row>
    <row r="6" spans="1:16" s="5" customFormat="1" ht="28.5" customHeight="1" x14ac:dyDescent="0.25">
      <c r="A6" s="12" t="s">
        <v>37</v>
      </c>
      <c r="B6" s="11" t="s">
        <v>17</v>
      </c>
      <c r="C6" s="13" t="s">
        <v>38</v>
      </c>
      <c r="D6" s="13" t="s">
        <v>39</v>
      </c>
      <c r="E6" s="11" t="s">
        <v>20</v>
      </c>
      <c r="F6" s="13" t="s">
        <v>21</v>
      </c>
      <c r="G6" s="13" t="s">
        <v>22</v>
      </c>
      <c r="H6" s="13" t="s">
        <v>29</v>
      </c>
      <c r="I6" s="13" t="s">
        <v>36</v>
      </c>
      <c r="J6" s="13"/>
      <c r="K6" s="13" t="s">
        <v>23</v>
      </c>
      <c r="L6" s="13"/>
      <c r="M6" s="13" t="s">
        <v>25</v>
      </c>
      <c r="N6" s="13" t="s">
        <v>25</v>
      </c>
      <c r="O6" s="4" t="str">
        <f>VLOOKUP(ALL_Issues2[[#This Row],[EA Epic Link]],Table466[],2,FALSE)</f>
        <v>Corporate Delivery Portfolio</v>
      </c>
      <c r="P6" s="4" t="str">
        <f>_xlfn.XLOOKUP(ALL_Issues2[[#This Row],[Epic Link]], Table35[Other Project Epic Links], Table35[EA Epic Links], ALL_Issues2[[#This Row],[Epic Link]])</f>
        <v>Investment Management</v>
      </c>
    </row>
    <row r="7" spans="1:16" s="5" customFormat="1" ht="28.5" customHeight="1" x14ac:dyDescent="0.25">
      <c r="A7" s="12" t="s">
        <v>40</v>
      </c>
      <c r="B7" s="11" t="s">
        <v>17</v>
      </c>
      <c r="C7" s="13" t="s">
        <v>41</v>
      </c>
      <c r="D7" s="13" t="s">
        <v>42</v>
      </c>
      <c r="E7" s="11" t="s">
        <v>20</v>
      </c>
      <c r="F7" s="13" t="s">
        <v>21</v>
      </c>
      <c r="G7" s="13" t="s">
        <v>22</v>
      </c>
      <c r="H7" s="13" t="s">
        <v>43</v>
      </c>
      <c r="I7" s="13" t="s">
        <v>44</v>
      </c>
      <c r="J7" s="13"/>
      <c r="K7" s="13" t="s">
        <v>23</v>
      </c>
      <c r="L7" s="13"/>
      <c r="M7" s="13" t="s">
        <v>25</v>
      </c>
      <c r="N7" s="13" t="s">
        <v>25</v>
      </c>
      <c r="O7" s="4" t="str">
        <f>VLOOKUP(ALL_Issues2[[#This Row],[EA Epic Link]],Table466[],2,FALSE)</f>
        <v>Corporate Delivery Portfolio</v>
      </c>
      <c r="P7" s="4" t="str">
        <f>_xlfn.XLOOKUP(ALL_Issues2[[#This Row],[Epic Link]], Table35[Other Project Epic Links], Table35[EA Epic Links], ALL_Issues2[[#This Row],[Epic Link]])</f>
        <v>Investment Management</v>
      </c>
    </row>
    <row r="8" spans="1:16" s="5" customFormat="1" ht="28.5" customHeight="1" x14ac:dyDescent="0.25">
      <c r="A8" s="12" t="s">
        <v>887</v>
      </c>
      <c r="B8" s="11" t="s">
        <v>55</v>
      </c>
      <c r="C8" s="13" t="s">
        <v>888</v>
      </c>
      <c r="D8" s="13" t="s">
        <v>889</v>
      </c>
      <c r="E8" s="11" t="s">
        <v>48</v>
      </c>
      <c r="F8" s="13" t="s">
        <v>21</v>
      </c>
      <c r="G8" s="13" t="s">
        <v>22</v>
      </c>
      <c r="H8" s="13" t="s">
        <v>300</v>
      </c>
      <c r="I8" s="13" t="s">
        <v>247</v>
      </c>
      <c r="J8" s="13" t="s">
        <v>65</v>
      </c>
      <c r="K8" s="13" t="s">
        <v>124</v>
      </c>
      <c r="L8" s="13" t="s">
        <v>67</v>
      </c>
      <c r="M8" s="13" t="s">
        <v>25</v>
      </c>
      <c r="N8" s="13" t="s">
        <v>25</v>
      </c>
      <c r="O8" s="4" t="str">
        <f>VLOOKUP(ALL_Issues2[[#This Row],[EA Epic Link]],Table466[],2,FALSE)</f>
        <v>Infrastructure Delivery Portfolio</v>
      </c>
      <c r="P8" s="4" t="str">
        <f>_xlfn.XLOOKUP(ALL_Issues2[[#This Row],[Epic Link]], Table35[Other Project Epic Links], Table35[EA Epic Links], ALL_Issues2[[#This Row],[Epic Link]])</f>
        <v>End User Productivity</v>
      </c>
    </row>
    <row r="9" spans="1:16" s="5" customFormat="1" ht="28.5" customHeight="1" x14ac:dyDescent="0.25">
      <c r="A9" s="12" t="s">
        <v>890</v>
      </c>
      <c r="B9" s="11" t="s">
        <v>17</v>
      </c>
      <c r="C9" s="13" t="s">
        <v>891</v>
      </c>
      <c r="D9" s="13" t="s">
        <v>892</v>
      </c>
      <c r="E9" s="11" t="s">
        <v>20</v>
      </c>
      <c r="F9" s="13" t="s">
        <v>58</v>
      </c>
      <c r="G9" s="13" t="s">
        <v>22</v>
      </c>
      <c r="H9" s="13" t="s">
        <v>23</v>
      </c>
      <c r="I9" s="13" t="s">
        <v>141</v>
      </c>
      <c r="J9" s="13" t="s">
        <v>51</v>
      </c>
      <c r="K9" s="13" t="s">
        <v>52</v>
      </c>
      <c r="L9" s="13"/>
      <c r="M9" s="13" t="s">
        <v>25</v>
      </c>
      <c r="N9" s="13" t="s">
        <v>25</v>
      </c>
      <c r="O9" s="4" t="str">
        <f>VLOOKUP(ALL_Issues2[[#This Row],[EA Epic Link]],Table466[],2,FALSE)</f>
        <v>Corporate Delivery Portfolio</v>
      </c>
      <c r="P9" s="4" t="str">
        <f>_xlfn.XLOOKUP(ALL_Issues2[[#This Row],[Epic Link]], Table35[Other Project Epic Links], Table35[EA Epic Links], ALL_Issues2[[#This Row],[Epic Link]])</f>
        <v>Corporate Finance</v>
      </c>
    </row>
    <row r="10" spans="1:16" s="5" customFormat="1" ht="28.5" customHeight="1" x14ac:dyDescent="0.25">
      <c r="A10" s="12" t="s">
        <v>893</v>
      </c>
      <c r="B10" s="11" t="s">
        <v>55</v>
      </c>
      <c r="C10" s="13" t="s">
        <v>894</v>
      </c>
      <c r="D10" s="13" t="s">
        <v>895</v>
      </c>
      <c r="E10" s="11" t="s">
        <v>48</v>
      </c>
      <c r="F10" s="13" t="s">
        <v>21</v>
      </c>
      <c r="G10" s="13" t="s">
        <v>22</v>
      </c>
      <c r="H10" s="13" t="s">
        <v>241</v>
      </c>
      <c r="I10" s="13" t="s">
        <v>454</v>
      </c>
      <c r="J10" s="13" t="s">
        <v>51</v>
      </c>
      <c r="K10" s="13" t="s">
        <v>129</v>
      </c>
      <c r="L10" s="13" t="s">
        <v>896</v>
      </c>
      <c r="M10" s="13" t="s">
        <v>68</v>
      </c>
      <c r="N10" s="13" t="s">
        <v>68</v>
      </c>
      <c r="O10" s="4" t="str">
        <f>VLOOKUP(ALL_Issues2[[#This Row],[EA Epic Link]],Table466[],2,FALSE)</f>
        <v>Corporate Delivery Portfolio</v>
      </c>
      <c r="P10" s="4" t="str">
        <f>_xlfn.XLOOKUP(ALL_Issues2[[#This Row],[Epic Link]], Table35[Other Project Epic Links], Table35[EA Epic Links], ALL_Issues2[[#This Row],[Epic Link]])</f>
        <v>Transfer Agency</v>
      </c>
    </row>
    <row r="11" spans="1:16" s="5" customFormat="1" ht="28.5" customHeight="1" x14ac:dyDescent="0.25">
      <c r="A11" s="12" t="s">
        <v>897</v>
      </c>
      <c r="B11" s="11" t="s">
        <v>55</v>
      </c>
      <c r="C11" s="13" t="s">
        <v>898</v>
      </c>
      <c r="D11" s="13" t="s">
        <v>899</v>
      </c>
      <c r="E11" s="11" t="s">
        <v>48</v>
      </c>
      <c r="F11" s="13" t="s">
        <v>21</v>
      </c>
      <c r="G11" s="13" t="s">
        <v>22</v>
      </c>
      <c r="H11" s="13" t="s">
        <v>241</v>
      </c>
      <c r="I11" s="13" t="s">
        <v>454</v>
      </c>
      <c r="J11" s="13" t="s">
        <v>51</v>
      </c>
      <c r="K11" s="13" t="s">
        <v>129</v>
      </c>
      <c r="L11" s="13" t="s">
        <v>896</v>
      </c>
      <c r="M11" s="13" t="s">
        <v>68</v>
      </c>
      <c r="N11" s="13" t="s">
        <v>68</v>
      </c>
      <c r="O11" s="4" t="str">
        <f>VLOOKUP(ALL_Issues2[[#This Row],[EA Epic Link]],Table466[],2,FALSE)</f>
        <v>Corporate Delivery Portfolio</v>
      </c>
      <c r="P11" s="4" t="str">
        <f>_xlfn.XLOOKUP(ALL_Issues2[[#This Row],[Epic Link]], Table35[Other Project Epic Links], Table35[EA Epic Links], ALL_Issues2[[#This Row],[Epic Link]])</f>
        <v>Transfer Agency</v>
      </c>
    </row>
    <row r="12" spans="1:16" s="5" customFormat="1" ht="28.5" customHeight="1" x14ac:dyDescent="0.25">
      <c r="A12" s="12" t="s">
        <v>45</v>
      </c>
      <c r="B12" s="11" t="s">
        <v>46</v>
      </c>
      <c r="C12" s="13" t="s">
        <v>47</v>
      </c>
      <c r="D12" s="13" t="s">
        <v>900</v>
      </c>
      <c r="E12" s="11" t="s">
        <v>240</v>
      </c>
      <c r="F12" s="13" t="s">
        <v>21</v>
      </c>
      <c r="G12" s="13" t="s">
        <v>22</v>
      </c>
      <c r="H12" s="13" t="s">
        <v>49</v>
      </c>
      <c r="I12" s="13" t="s">
        <v>50</v>
      </c>
      <c r="J12" s="13" t="s">
        <v>51</v>
      </c>
      <c r="K12" s="13" t="s">
        <v>52</v>
      </c>
      <c r="L12" s="13" t="s">
        <v>53</v>
      </c>
      <c r="M12" s="13" t="s">
        <v>25</v>
      </c>
      <c r="N12" s="13" t="s">
        <v>25</v>
      </c>
      <c r="O12" s="4" t="str">
        <f>VLOOKUP(ALL_Issues2[[#This Row],[EA Epic Link]],Table466[],2,FALSE)</f>
        <v>Corporate Delivery Portfolio</v>
      </c>
      <c r="P12" s="4" t="str">
        <f>_xlfn.XLOOKUP(ALL_Issues2[[#This Row],[Epic Link]], Table35[Other Project Epic Links], Table35[EA Epic Links], ALL_Issues2[[#This Row],[Epic Link]])</f>
        <v>Client Services Operations</v>
      </c>
    </row>
    <row r="13" spans="1:16" s="5" customFormat="1" ht="28.5" customHeight="1" x14ac:dyDescent="0.25">
      <c r="A13" s="12" t="s">
        <v>54</v>
      </c>
      <c r="B13" s="11" t="s">
        <v>55</v>
      </c>
      <c r="C13" s="13" t="s">
        <v>56</v>
      </c>
      <c r="D13" s="13" t="s">
        <v>57</v>
      </c>
      <c r="E13" s="11" t="s">
        <v>20</v>
      </c>
      <c r="F13" s="13" t="s">
        <v>58</v>
      </c>
      <c r="G13" s="13" t="s">
        <v>22</v>
      </c>
      <c r="H13" s="13" t="s">
        <v>49</v>
      </c>
      <c r="I13" s="13" t="s">
        <v>50</v>
      </c>
      <c r="J13" s="13" t="s">
        <v>51</v>
      </c>
      <c r="K13" s="13" t="s">
        <v>49</v>
      </c>
      <c r="L13" s="13"/>
      <c r="M13" s="13" t="s">
        <v>25</v>
      </c>
      <c r="N13" s="13" t="s">
        <v>25</v>
      </c>
      <c r="O13" s="4" t="str">
        <f>VLOOKUP(ALL_Issues2[[#This Row],[EA Epic Link]],Table466[],2,FALSE)</f>
        <v>Corporate Delivery Portfolio</v>
      </c>
      <c r="P13" s="4" t="str">
        <f>_xlfn.XLOOKUP(ALL_Issues2[[#This Row],[Epic Link]], Table35[Other Project Epic Links], Table35[EA Epic Links], ALL_Issues2[[#This Row],[Epic Link]])</f>
        <v>Client Services Operations</v>
      </c>
    </row>
    <row r="14" spans="1:16" s="5" customFormat="1" ht="28.5" customHeight="1" x14ac:dyDescent="0.25">
      <c r="A14" s="12" t="s">
        <v>60</v>
      </c>
      <c r="B14" s="11" t="s">
        <v>55</v>
      </c>
      <c r="C14" s="13" t="s">
        <v>61</v>
      </c>
      <c r="D14" s="13" t="s">
        <v>62</v>
      </c>
      <c r="E14" s="11" t="s">
        <v>113</v>
      </c>
      <c r="F14" s="13" t="s">
        <v>21</v>
      </c>
      <c r="G14" s="13" t="s">
        <v>22</v>
      </c>
      <c r="H14" s="13" t="s">
        <v>63</v>
      </c>
      <c r="I14" s="13" t="s">
        <v>64</v>
      </c>
      <c r="J14" s="13" t="s">
        <v>65</v>
      </c>
      <c r="K14" s="13" t="s">
        <v>66</v>
      </c>
      <c r="L14" s="13" t="s">
        <v>67</v>
      </c>
      <c r="M14" s="13" t="s">
        <v>68</v>
      </c>
      <c r="N14" s="13" t="s">
        <v>25</v>
      </c>
      <c r="O14" s="4" t="str">
        <f>VLOOKUP(ALL_Issues2[[#This Row],[EA Epic Link]],Table466[],2,FALSE)</f>
        <v>Infrastructure Delivery Portfolio</v>
      </c>
      <c r="P14" s="4" t="str">
        <f>_xlfn.XLOOKUP(ALL_Issues2[[#This Row],[Epic Link]], Table35[Other Project Epic Links], Table35[EA Epic Links], ALL_Issues2[[#This Row],[Epic Link]])</f>
        <v>End User Device Management</v>
      </c>
    </row>
    <row r="15" spans="1:16" s="5" customFormat="1" ht="28.5" customHeight="1" x14ac:dyDescent="0.25">
      <c r="A15" s="12" t="s">
        <v>69</v>
      </c>
      <c r="B15" s="11" t="s">
        <v>55</v>
      </c>
      <c r="C15" s="13" t="s">
        <v>70</v>
      </c>
      <c r="D15" s="13" t="s">
        <v>71</v>
      </c>
      <c r="E15" s="11" t="s">
        <v>113</v>
      </c>
      <c r="F15" s="13" t="s">
        <v>21</v>
      </c>
      <c r="G15" s="13" t="s">
        <v>22</v>
      </c>
      <c r="H15" s="13" t="s">
        <v>43</v>
      </c>
      <c r="I15" s="13" t="s">
        <v>72</v>
      </c>
      <c r="J15" s="13" t="s">
        <v>51</v>
      </c>
      <c r="K15" s="13" t="s">
        <v>73</v>
      </c>
      <c r="L15" s="13" t="s">
        <v>74</v>
      </c>
      <c r="M15" s="13" t="s">
        <v>25</v>
      </c>
      <c r="N15" s="13" t="s">
        <v>25</v>
      </c>
      <c r="O15" s="4" t="str">
        <f>VLOOKUP(ALL_Issues2[[#This Row],[EA Epic Link]],Table466[],2,FALSE)</f>
        <v>Corporate Delivery Portfolio</v>
      </c>
      <c r="P15" s="4" t="str">
        <f>_xlfn.XLOOKUP(ALL_Issues2[[#This Row],[Epic Link]], Table35[Other Project Epic Links], Table35[EA Epic Links], ALL_Issues2[[#This Row],[Epic Link]])</f>
        <v>Investment Management</v>
      </c>
    </row>
    <row r="16" spans="1:16" s="5" customFormat="1" ht="28.5" customHeight="1" x14ac:dyDescent="0.25">
      <c r="A16" s="12" t="s">
        <v>75</v>
      </c>
      <c r="B16" s="11" t="s">
        <v>55</v>
      </c>
      <c r="C16" s="13" t="s">
        <v>76</v>
      </c>
      <c r="D16" s="13" t="s">
        <v>77</v>
      </c>
      <c r="E16" s="11" t="s">
        <v>113</v>
      </c>
      <c r="F16" s="13" t="s">
        <v>21</v>
      </c>
      <c r="G16" s="13" t="s">
        <v>22</v>
      </c>
      <c r="H16" s="13" t="s">
        <v>78</v>
      </c>
      <c r="I16" s="13" t="s">
        <v>72</v>
      </c>
      <c r="J16" s="13" t="s">
        <v>51</v>
      </c>
      <c r="K16" s="13" t="s">
        <v>73</v>
      </c>
      <c r="L16" s="13" t="s">
        <v>74</v>
      </c>
      <c r="M16" s="13" t="s">
        <v>25</v>
      </c>
      <c r="N16" s="13" t="s">
        <v>25</v>
      </c>
      <c r="O16" s="4" t="str">
        <f>VLOOKUP(ALL_Issues2[[#This Row],[EA Epic Link]],Table466[],2,FALSE)</f>
        <v>Corporate Delivery Portfolio</v>
      </c>
      <c r="P16" s="4" t="str">
        <f>_xlfn.XLOOKUP(ALL_Issues2[[#This Row],[Epic Link]], Table35[Other Project Epic Links], Table35[EA Epic Links], ALL_Issues2[[#This Row],[Epic Link]])</f>
        <v>Investment Management</v>
      </c>
    </row>
    <row r="17" spans="1:16" s="5" customFormat="1" ht="28.5" customHeight="1" x14ac:dyDescent="0.25">
      <c r="A17" s="12" t="s">
        <v>79</v>
      </c>
      <c r="B17" s="11" t="s">
        <v>55</v>
      </c>
      <c r="C17" s="13" t="s">
        <v>80</v>
      </c>
      <c r="D17" s="13" t="s">
        <v>81</v>
      </c>
      <c r="E17" s="11" t="s">
        <v>113</v>
      </c>
      <c r="F17" s="13" t="s">
        <v>21</v>
      </c>
      <c r="G17" s="13" t="s">
        <v>22</v>
      </c>
      <c r="H17" s="13" t="s">
        <v>78</v>
      </c>
      <c r="I17" s="13" t="s">
        <v>72</v>
      </c>
      <c r="J17" s="13" t="s">
        <v>51</v>
      </c>
      <c r="K17" s="13" t="s">
        <v>73</v>
      </c>
      <c r="L17" s="13" t="s">
        <v>74</v>
      </c>
      <c r="M17" s="13" t="s">
        <v>25</v>
      </c>
      <c r="N17" s="13" t="s">
        <v>25</v>
      </c>
      <c r="O17" s="4" t="str">
        <f>VLOOKUP(ALL_Issues2[[#This Row],[EA Epic Link]],Table466[],2,FALSE)</f>
        <v>Corporate Delivery Portfolio</v>
      </c>
      <c r="P17" s="4" t="str">
        <f>_xlfn.XLOOKUP(ALL_Issues2[[#This Row],[Epic Link]], Table35[Other Project Epic Links], Table35[EA Epic Links], ALL_Issues2[[#This Row],[Epic Link]])</f>
        <v>Investment Management</v>
      </c>
    </row>
    <row r="18" spans="1:16" s="5" customFormat="1" ht="28.5" customHeight="1" x14ac:dyDescent="0.25">
      <c r="A18" s="12" t="s">
        <v>82</v>
      </c>
      <c r="B18" s="11" t="s">
        <v>55</v>
      </c>
      <c r="C18" s="13" t="s">
        <v>83</v>
      </c>
      <c r="D18" s="13" t="s">
        <v>84</v>
      </c>
      <c r="E18" s="11" t="s">
        <v>113</v>
      </c>
      <c r="F18" s="13" t="s">
        <v>21</v>
      </c>
      <c r="G18" s="13" t="s">
        <v>22</v>
      </c>
      <c r="H18" s="13" t="s">
        <v>78</v>
      </c>
      <c r="I18" s="13" t="s">
        <v>72</v>
      </c>
      <c r="J18" s="13" t="s">
        <v>51</v>
      </c>
      <c r="K18" s="13" t="s">
        <v>73</v>
      </c>
      <c r="L18" s="13" t="s">
        <v>74</v>
      </c>
      <c r="M18" s="13" t="s">
        <v>25</v>
      </c>
      <c r="N18" s="13" t="s">
        <v>25</v>
      </c>
      <c r="O18" s="4" t="str">
        <f>VLOOKUP(ALL_Issues2[[#This Row],[EA Epic Link]],Table466[],2,FALSE)</f>
        <v>Corporate Delivery Portfolio</v>
      </c>
      <c r="P18" s="4" t="str">
        <f>_xlfn.XLOOKUP(ALL_Issues2[[#This Row],[Epic Link]], Table35[Other Project Epic Links], Table35[EA Epic Links], ALL_Issues2[[#This Row],[Epic Link]])</f>
        <v>Investment Management</v>
      </c>
    </row>
    <row r="19" spans="1:16" s="5" customFormat="1" ht="28.5" customHeight="1" x14ac:dyDescent="0.25">
      <c r="A19" s="12" t="s">
        <v>85</v>
      </c>
      <c r="B19" s="11" t="s">
        <v>86</v>
      </c>
      <c r="C19" s="13" t="s">
        <v>87</v>
      </c>
      <c r="D19" s="13" t="s">
        <v>88</v>
      </c>
      <c r="E19" s="11" t="s">
        <v>48</v>
      </c>
      <c r="F19" s="13" t="s">
        <v>58</v>
      </c>
      <c r="G19" s="13" t="s">
        <v>22</v>
      </c>
      <c r="H19" s="13" t="s">
        <v>78</v>
      </c>
      <c r="I19" s="13" t="s">
        <v>72</v>
      </c>
      <c r="J19" s="13" t="s">
        <v>51</v>
      </c>
      <c r="K19" s="13" t="s">
        <v>73</v>
      </c>
      <c r="L19" s="13" t="s">
        <v>74</v>
      </c>
      <c r="M19" s="13" t="s">
        <v>25</v>
      </c>
      <c r="N19" s="13" t="s">
        <v>25</v>
      </c>
      <c r="O19" s="4" t="str">
        <f>VLOOKUP(ALL_Issues2[[#This Row],[EA Epic Link]],Table466[],2,FALSE)</f>
        <v>Corporate Delivery Portfolio</v>
      </c>
      <c r="P19" s="4" t="str">
        <f>_xlfn.XLOOKUP(ALL_Issues2[[#This Row],[Epic Link]], Table35[Other Project Epic Links], Table35[EA Epic Links], ALL_Issues2[[#This Row],[Epic Link]])</f>
        <v>Investment Management</v>
      </c>
    </row>
    <row r="20" spans="1:16" s="5" customFormat="1" ht="28.5" customHeight="1" x14ac:dyDescent="0.25">
      <c r="A20" s="12" t="s">
        <v>89</v>
      </c>
      <c r="B20" s="11" t="s">
        <v>86</v>
      </c>
      <c r="C20" s="13" t="s">
        <v>90</v>
      </c>
      <c r="D20" s="13" t="s">
        <v>91</v>
      </c>
      <c r="E20" s="11" t="s">
        <v>20</v>
      </c>
      <c r="F20" s="13" t="s">
        <v>92</v>
      </c>
      <c r="G20" s="13" t="s">
        <v>22</v>
      </c>
      <c r="H20" s="13" t="s">
        <v>134</v>
      </c>
      <c r="I20" s="13" t="s">
        <v>94</v>
      </c>
      <c r="J20" s="13" t="s">
        <v>94</v>
      </c>
      <c r="K20" s="13" t="s">
        <v>23</v>
      </c>
      <c r="L20" s="13" t="s">
        <v>95</v>
      </c>
      <c r="M20" s="13" t="s">
        <v>25</v>
      </c>
      <c r="N20" s="13" t="s">
        <v>68</v>
      </c>
      <c r="O20" s="4" t="str">
        <f>VLOOKUP(ALL_Issues2[[#This Row],[EA Epic Link]],Table466[],2,FALSE)</f>
        <v>Infrastructure Delivery Portfolio</v>
      </c>
      <c r="P20" s="4" t="str">
        <f>_xlfn.XLOOKUP(ALL_Issues2[[#This Row],[Epic Link]], Table35[Other Project Epic Links], Table35[EA Epic Links], ALL_Issues2[[#This Row],[Epic Link]])</f>
        <v>Network</v>
      </c>
    </row>
    <row r="21" spans="1:16" s="5" customFormat="1" ht="28.5" customHeight="1" x14ac:dyDescent="0.25">
      <c r="A21" s="12" t="s">
        <v>96</v>
      </c>
      <c r="B21" s="11" t="s">
        <v>46</v>
      </c>
      <c r="C21" s="13" t="s">
        <v>97</v>
      </c>
      <c r="D21" s="13" t="s">
        <v>98</v>
      </c>
      <c r="E21" s="11" t="s">
        <v>20</v>
      </c>
      <c r="F21" s="13" t="s">
        <v>58</v>
      </c>
      <c r="G21" s="13" t="s">
        <v>22</v>
      </c>
      <c r="H21" s="13" t="s">
        <v>99</v>
      </c>
      <c r="I21" s="13" t="s">
        <v>100</v>
      </c>
      <c r="J21" s="13" t="s">
        <v>101</v>
      </c>
      <c r="K21" s="13" t="s">
        <v>102</v>
      </c>
      <c r="L21" s="13" t="s">
        <v>103</v>
      </c>
      <c r="M21" s="13" t="s">
        <v>25</v>
      </c>
      <c r="N21" s="13" t="s">
        <v>25</v>
      </c>
      <c r="O21" s="4" t="str">
        <f>VLOOKUP(ALL_Issues2[[#This Row],[EA Epic Link]],Table466[],2,FALSE)</f>
        <v>Digital Delivery Portfolio</v>
      </c>
      <c r="P21" s="4" t="str">
        <f>_xlfn.XLOOKUP(ALL_Issues2[[#This Row],[Epic Link]], Table35[Other Project Epic Links], Table35[EA Epic Links], ALL_Issues2[[#This Row],[Epic Link]])</f>
        <v>MI Distribution and Marketing</v>
      </c>
    </row>
    <row r="22" spans="1:16" s="5" customFormat="1" ht="28.5" customHeight="1" x14ac:dyDescent="0.25">
      <c r="A22" s="12" t="s">
        <v>104</v>
      </c>
      <c r="B22" s="11" t="s">
        <v>86</v>
      </c>
      <c r="C22" s="13" t="s">
        <v>105</v>
      </c>
      <c r="D22" s="13" t="s">
        <v>901</v>
      </c>
      <c r="E22" s="11" t="s">
        <v>113</v>
      </c>
      <c r="F22" s="13" t="s">
        <v>58</v>
      </c>
      <c r="G22" s="13" t="s">
        <v>22</v>
      </c>
      <c r="H22" s="13" t="s">
        <v>106</v>
      </c>
      <c r="I22" s="13" t="s">
        <v>107</v>
      </c>
      <c r="J22" s="13" t="s">
        <v>108</v>
      </c>
      <c r="K22" s="13" t="s">
        <v>66</v>
      </c>
      <c r="L22" s="13" t="s">
        <v>109</v>
      </c>
      <c r="M22" s="13" t="s">
        <v>25</v>
      </c>
      <c r="N22" s="13" t="s">
        <v>25</v>
      </c>
      <c r="O22" s="4" t="str">
        <f>VLOOKUP(ALL_Issues2[[#This Row],[EA Epic Link]],Table466[],2,FALSE)</f>
        <v>Infrastructure Delivery Portfolio</v>
      </c>
      <c r="P22" s="4" t="str">
        <f>_xlfn.XLOOKUP(ALL_Issues2[[#This Row],[Epic Link]], Table35[Other Project Epic Links], Table35[EA Epic Links], ALL_Issues2[[#This Row],[Epic Link]])</f>
        <v>IT Service Management Platform</v>
      </c>
    </row>
    <row r="23" spans="1:16" s="5" customFormat="1" ht="28.5" customHeight="1" x14ac:dyDescent="0.25">
      <c r="A23" s="12" t="s">
        <v>110</v>
      </c>
      <c r="B23" s="11" t="s">
        <v>46</v>
      </c>
      <c r="C23" s="13" t="s">
        <v>111</v>
      </c>
      <c r="D23" s="13" t="s">
        <v>112</v>
      </c>
      <c r="E23" s="11" t="s">
        <v>113</v>
      </c>
      <c r="F23" s="13" t="s">
        <v>21</v>
      </c>
      <c r="G23" s="13" t="s">
        <v>22</v>
      </c>
      <c r="H23" s="13" t="s">
        <v>102</v>
      </c>
      <c r="I23" s="13" t="s">
        <v>114</v>
      </c>
      <c r="J23" s="13" t="s">
        <v>51</v>
      </c>
      <c r="K23" s="13" t="s">
        <v>52</v>
      </c>
      <c r="L23" s="13"/>
      <c r="M23" s="13" t="s">
        <v>25</v>
      </c>
      <c r="N23" s="13" t="s">
        <v>25</v>
      </c>
      <c r="O23" s="4" t="str">
        <f>VLOOKUP(ALL_Issues2[[#This Row],[EA Epic Link]],Table466[],2,FALSE)</f>
        <v>Digital Delivery Portfolio</v>
      </c>
      <c r="P23" s="4" t="str">
        <f>_xlfn.XLOOKUP(ALL_Issues2[[#This Row],[Epic Link]], Table35[Other Project Epic Links], Table35[EA Epic Links], ALL_Issues2[[#This Row],[Epic Link]])</f>
        <v>IG Distribution and Marketing</v>
      </c>
    </row>
    <row r="24" spans="1:16" s="5" customFormat="1" ht="28.5" customHeight="1" x14ac:dyDescent="0.25">
      <c r="A24" s="12" t="s">
        <v>115</v>
      </c>
      <c r="B24" s="11" t="s">
        <v>46</v>
      </c>
      <c r="C24" s="13" t="s">
        <v>116</v>
      </c>
      <c r="D24" s="13" t="s">
        <v>117</v>
      </c>
      <c r="E24" s="11" t="s">
        <v>118</v>
      </c>
      <c r="F24" s="13" t="s">
        <v>21</v>
      </c>
      <c r="G24" s="13" t="s">
        <v>22</v>
      </c>
      <c r="H24" s="13" t="s">
        <v>119</v>
      </c>
      <c r="I24" s="13" t="s">
        <v>64</v>
      </c>
      <c r="J24" s="13" t="s">
        <v>65</v>
      </c>
      <c r="K24" s="13" t="s">
        <v>66</v>
      </c>
      <c r="L24" s="13"/>
      <c r="M24" s="13" t="s">
        <v>25</v>
      </c>
      <c r="N24" s="13" t="s">
        <v>68</v>
      </c>
      <c r="O24" s="4" t="str">
        <f>VLOOKUP(ALL_Issues2[[#This Row],[EA Epic Link]],Table466[],2,FALSE)</f>
        <v>Infrastructure Delivery Portfolio</v>
      </c>
      <c r="P24" s="4" t="str">
        <f>_xlfn.XLOOKUP(ALL_Issues2[[#This Row],[Epic Link]], Table35[Other Project Epic Links], Table35[EA Epic Links], ALL_Issues2[[#This Row],[Epic Link]])</f>
        <v>End User Device Management</v>
      </c>
    </row>
    <row r="25" spans="1:16" s="5" customFormat="1" ht="28.5" customHeight="1" x14ac:dyDescent="0.25">
      <c r="A25" s="12" t="s">
        <v>120</v>
      </c>
      <c r="B25" s="11" t="s">
        <v>46</v>
      </c>
      <c r="C25" s="13" t="s">
        <v>121</v>
      </c>
      <c r="D25" s="13" t="s">
        <v>122</v>
      </c>
      <c r="E25" s="11" t="s">
        <v>48</v>
      </c>
      <c r="F25" s="13" t="s">
        <v>58</v>
      </c>
      <c r="G25" s="13" t="s">
        <v>22</v>
      </c>
      <c r="H25" s="13" t="s">
        <v>66</v>
      </c>
      <c r="I25" s="13" t="s">
        <v>123</v>
      </c>
      <c r="J25" s="13" t="s">
        <v>108</v>
      </c>
      <c r="K25" s="13" t="s">
        <v>124</v>
      </c>
      <c r="L25" s="13" t="s">
        <v>125</v>
      </c>
      <c r="M25" s="13" t="s">
        <v>68</v>
      </c>
      <c r="N25" s="13" t="s">
        <v>25</v>
      </c>
      <c r="O25" s="4" t="str">
        <f>VLOOKUP(ALL_Issues2[[#This Row],[EA Epic Link]],Table466[],2,FALSE)</f>
        <v>Infrastructure Delivery Portfolio</v>
      </c>
      <c r="P25" s="4" t="str">
        <f>_xlfn.XLOOKUP(ALL_Issues2[[#This Row],[Epic Link]], Table35[Other Project Epic Links], Table35[EA Epic Links], ALL_Issues2[[#This Row],[Epic Link]])</f>
        <v>Core DevOps Services</v>
      </c>
    </row>
    <row r="26" spans="1:16" s="5" customFormat="1" ht="28.5" customHeight="1" x14ac:dyDescent="0.25">
      <c r="A26" s="12" t="s">
        <v>126</v>
      </c>
      <c r="B26" s="11" t="s">
        <v>55</v>
      </c>
      <c r="C26" s="13" t="s">
        <v>127</v>
      </c>
      <c r="D26" s="13" t="s">
        <v>128</v>
      </c>
      <c r="E26" s="11" t="s">
        <v>113</v>
      </c>
      <c r="F26" s="13" t="s">
        <v>21</v>
      </c>
      <c r="G26" s="13" t="s">
        <v>22</v>
      </c>
      <c r="H26" s="13" t="s">
        <v>129</v>
      </c>
      <c r="I26" s="13" t="s">
        <v>94</v>
      </c>
      <c r="J26" s="13" t="s">
        <v>94</v>
      </c>
      <c r="K26" s="13" t="s">
        <v>130</v>
      </c>
      <c r="L26" s="13" t="s">
        <v>67</v>
      </c>
      <c r="M26" s="13" t="s">
        <v>25</v>
      </c>
      <c r="N26" s="13" t="s">
        <v>25</v>
      </c>
      <c r="O26" s="4" t="str">
        <f>VLOOKUP(ALL_Issues2[[#This Row],[EA Epic Link]],Table466[],2,FALSE)</f>
        <v>Infrastructure Delivery Portfolio</v>
      </c>
      <c r="P26" s="4" t="str">
        <f>_xlfn.XLOOKUP(ALL_Issues2[[#This Row],[Epic Link]], Table35[Other Project Epic Links], Table35[EA Epic Links], ALL_Issues2[[#This Row],[Epic Link]])</f>
        <v>Network</v>
      </c>
    </row>
    <row r="27" spans="1:16" s="5" customFormat="1" ht="28.5" customHeight="1" x14ac:dyDescent="0.25">
      <c r="A27" s="12" t="s">
        <v>131</v>
      </c>
      <c r="B27" s="11" t="s">
        <v>17</v>
      </c>
      <c r="C27" s="13" t="s">
        <v>132</v>
      </c>
      <c r="D27" s="13" t="s">
        <v>133</v>
      </c>
      <c r="E27" s="11" t="s">
        <v>48</v>
      </c>
      <c r="F27" s="13" t="s">
        <v>21</v>
      </c>
      <c r="G27" s="13" t="s">
        <v>22</v>
      </c>
      <c r="H27" s="13" t="s">
        <v>134</v>
      </c>
      <c r="I27" s="13" t="s">
        <v>135</v>
      </c>
      <c r="J27" s="13" t="s">
        <v>51</v>
      </c>
      <c r="K27" s="13" t="s">
        <v>23</v>
      </c>
      <c r="L27" s="13" t="s">
        <v>136</v>
      </c>
      <c r="M27" s="13" t="s">
        <v>25</v>
      </c>
      <c r="N27" s="13" t="s">
        <v>25</v>
      </c>
      <c r="O27" s="4" t="str">
        <f>VLOOKUP(ALL_Issues2[[#This Row],[EA Epic Link]],Table466[],2,FALSE)</f>
        <v>Corporate Delivery Portfolio</v>
      </c>
      <c r="P27" s="4" t="str">
        <f>_xlfn.XLOOKUP(ALL_Issues2[[#This Row],[Epic Link]], Table35[Other Project Epic Links], Table35[EA Epic Links], ALL_Issues2[[#This Row],[Epic Link]])</f>
        <v>Facilities and Real Estate</v>
      </c>
    </row>
    <row r="28" spans="1:16" s="5" customFormat="1" ht="28.5" customHeight="1" x14ac:dyDescent="0.25">
      <c r="A28" s="12" t="s">
        <v>137</v>
      </c>
      <c r="B28" s="11" t="s">
        <v>55</v>
      </c>
      <c r="C28" s="13" t="s">
        <v>138</v>
      </c>
      <c r="D28" s="13" t="s">
        <v>139</v>
      </c>
      <c r="E28" s="11" t="s">
        <v>20</v>
      </c>
      <c r="F28" s="13" t="s">
        <v>58</v>
      </c>
      <c r="G28" s="13" t="s">
        <v>22</v>
      </c>
      <c r="H28" s="13" t="s">
        <v>140</v>
      </c>
      <c r="I28" s="13" t="s">
        <v>141</v>
      </c>
      <c r="J28" s="13" t="s">
        <v>51</v>
      </c>
      <c r="K28" s="13" t="s">
        <v>23</v>
      </c>
      <c r="L28" s="13"/>
      <c r="M28" s="13" t="s">
        <v>25</v>
      </c>
      <c r="N28" s="13" t="s">
        <v>25</v>
      </c>
      <c r="O28" s="4" t="str">
        <f>VLOOKUP(ALL_Issues2[[#This Row],[EA Epic Link]],Table466[],2,FALSE)</f>
        <v>Corporate Delivery Portfolio</v>
      </c>
      <c r="P28" s="4" t="str">
        <f>_xlfn.XLOOKUP(ALL_Issues2[[#This Row],[Epic Link]], Table35[Other Project Epic Links], Table35[EA Epic Links], ALL_Issues2[[#This Row],[Epic Link]])</f>
        <v>Corporate Finance</v>
      </c>
    </row>
    <row r="29" spans="1:16" s="5" customFormat="1" ht="28.5" customHeight="1" x14ac:dyDescent="0.25">
      <c r="A29" s="12" t="s">
        <v>142</v>
      </c>
      <c r="B29" s="11" t="s">
        <v>17</v>
      </c>
      <c r="C29" s="13" t="s">
        <v>143</v>
      </c>
      <c r="D29" s="13" t="s">
        <v>144</v>
      </c>
      <c r="E29" s="11" t="s">
        <v>145</v>
      </c>
      <c r="F29" s="13" t="s">
        <v>92</v>
      </c>
      <c r="G29" s="13" t="s">
        <v>22</v>
      </c>
      <c r="H29" s="13" t="s">
        <v>66</v>
      </c>
      <c r="I29" s="13" t="s">
        <v>64</v>
      </c>
      <c r="J29" s="13" t="s">
        <v>146</v>
      </c>
      <c r="K29" s="13" t="s">
        <v>124</v>
      </c>
      <c r="L29" s="13" t="s">
        <v>147</v>
      </c>
      <c r="M29" s="13" t="s">
        <v>68</v>
      </c>
      <c r="N29" s="13" t="s">
        <v>25</v>
      </c>
      <c r="O29" s="4" t="str">
        <f>VLOOKUP(ALL_Issues2[[#This Row],[EA Epic Link]],Table466[],2,FALSE)</f>
        <v>Infrastructure Delivery Portfolio</v>
      </c>
      <c r="P29" s="4" t="str">
        <f>_xlfn.XLOOKUP(ALL_Issues2[[#This Row],[Epic Link]], Table35[Other Project Epic Links], Table35[EA Epic Links], ALL_Issues2[[#This Row],[Epic Link]])</f>
        <v>End User Device Management</v>
      </c>
    </row>
    <row r="30" spans="1:16" s="5" customFormat="1" ht="28.5" customHeight="1" x14ac:dyDescent="0.25">
      <c r="A30" s="12" t="s">
        <v>148</v>
      </c>
      <c r="B30" s="11" t="s">
        <v>46</v>
      </c>
      <c r="C30" s="13" t="s">
        <v>149</v>
      </c>
      <c r="D30" s="13" t="s">
        <v>150</v>
      </c>
      <c r="E30" s="11" t="s">
        <v>48</v>
      </c>
      <c r="F30" s="13" t="s">
        <v>21</v>
      </c>
      <c r="G30" s="13" t="s">
        <v>22</v>
      </c>
      <c r="H30" s="13" t="s">
        <v>66</v>
      </c>
      <c r="I30" s="13" t="s">
        <v>64</v>
      </c>
      <c r="J30" s="13" t="s">
        <v>65</v>
      </c>
      <c r="K30" s="13" t="s">
        <v>124</v>
      </c>
      <c r="L30" s="13"/>
      <c r="M30" s="13" t="s">
        <v>25</v>
      </c>
      <c r="N30" s="13" t="s">
        <v>25</v>
      </c>
      <c r="O30" s="4" t="str">
        <f>VLOOKUP(ALL_Issues2[[#This Row],[EA Epic Link]],Table466[],2,FALSE)</f>
        <v>Infrastructure Delivery Portfolio</v>
      </c>
      <c r="P30" s="4" t="str">
        <f>_xlfn.XLOOKUP(ALL_Issues2[[#This Row],[Epic Link]], Table35[Other Project Epic Links], Table35[EA Epic Links], ALL_Issues2[[#This Row],[Epic Link]])</f>
        <v>End User Device Management</v>
      </c>
    </row>
    <row r="31" spans="1:16" s="5" customFormat="1" ht="28.5" customHeight="1" x14ac:dyDescent="0.25">
      <c r="A31" s="12" t="s">
        <v>151</v>
      </c>
      <c r="B31" s="11" t="s">
        <v>55</v>
      </c>
      <c r="C31" s="13" t="s">
        <v>152</v>
      </c>
      <c r="D31" s="13" t="s">
        <v>153</v>
      </c>
      <c r="E31" s="11" t="s">
        <v>113</v>
      </c>
      <c r="F31" s="13" t="s">
        <v>21</v>
      </c>
      <c r="G31" s="13" t="s">
        <v>22</v>
      </c>
      <c r="H31" s="13" t="s">
        <v>63</v>
      </c>
      <c r="I31" s="13" t="s">
        <v>72</v>
      </c>
      <c r="J31" s="13" t="s">
        <v>146</v>
      </c>
      <c r="K31" s="13" t="s">
        <v>124</v>
      </c>
      <c r="L31" s="13" t="s">
        <v>154</v>
      </c>
      <c r="M31" s="13" t="s">
        <v>25</v>
      </c>
      <c r="N31" s="13" t="s">
        <v>25</v>
      </c>
      <c r="O31" s="4" t="str">
        <f>VLOOKUP(ALL_Issues2[[#This Row],[EA Epic Link]],Table466[],2,FALSE)</f>
        <v>Corporate Delivery Portfolio</v>
      </c>
      <c r="P31" s="4" t="str">
        <f>_xlfn.XLOOKUP(ALL_Issues2[[#This Row],[Epic Link]], Table35[Other Project Epic Links], Table35[EA Epic Links], ALL_Issues2[[#This Row],[Epic Link]])</f>
        <v>Investment Management</v>
      </c>
    </row>
    <row r="32" spans="1:16" s="5" customFormat="1" ht="28.5" customHeight="1" x14ac:dyDescent="0.25">
      <c r="A32" s="12" t="s">
        <v>155</v>
      </c>
      <c r="B32" s="11" t="s">
        <v>46</v>
      </c>
      <c r="C32" s="13" t="s">
        <v>902</v>
      </c>
      <c r="D32" s="13" t="s">
        <v>903</v>
      </c>
      <c r="E32" s="11" t="s">
        <v>48</v>
      </c>
      <c r="F32" s="13" t="s">
        <v>21</v>
      </c>
      <c r="G32" s="13" t="s">
        <v>22</v>
      </c>
      <c r="H32" s="13" t="s">
        <v>66</v>
      </c>
      <c r="I32" s="13" t="s">
        <v>123</v>
      </c>
      <c r="J32" s="13" t="s">
        <v>108</v>
      </c>
      <c r="K32" s="13" t="s">
        <v>156</v>
      </c>
      <c r="L32" s="13" t="s">
        <v>125</v>
      </c>
      <c r="M32" s="13" t="s">
        <v>25</v>
      </c>
      <c r="N32" s="13" t="s">
        <v>25</v>
      </c>
      <c r="O32" s="4" t="str">
        <f>VLOOKUP(ALL_Issues2[[#This Row],[EA Epic Link]],Table466[],2,FALSE)</f>
        <v>Infrastructure Delivery Portfolio</v>
      </c>
      <c r="P32" s="4" t="str">
        <f>_xlfn.XLOOKUP(ALL_Issues2[[#This Row],[Epic Link]], Table35[Other Project Epic Links], Table35[EA Epic Links], ALL_Issues2[[#This Row],[Epic Link]])</f>
        <v>Core DevOps Services</v>
      </c>
    </row>
    <row r="33" spans="1:16" s="5" customFormat="1" ht="28.5" customHeight="1" x14ac:dyDescent="0.25">
      <c r="A33" s="12" t="s">
        <v>157</v>
      </c>
      <c r="B33" s="11" t="s">
        <v>86</v>
      </c>
      <c r="C33" s="13" t="s">
        <v>158</v>
      </c>
      <c r="D33" s="13" t="s">
        <v>159</v>
      </c>
      <c r="E33" s="11" t="s">
        <v>118</v>
      </c>
      <c r="F33" s="13" t="s">
        <v>21</v>
      </c>
      <c r="G33" s="13" t="s">
        <v>22</v>
      </c>
      <c r="H33" s="13" t="s">
        <v>66</v>
      </c>
      <c r="I33" s="13" t="s">
        <v>123</v>
      </c>
      <c r="J33" s="13" t="s">
        <v>160</v>
      </c>
      <c r="K33" s="13" t="s">
        <v>156</v>
      </c>
      <c r="L33" s="13" t="s">
        <v>161</v>
      </c>
      <c r="M33" s="13" t="s">
        <v>25</v>
      </c>
      <c r="N33" s="13" t="s">
        <v>25</v>
      </c>
      <c r="O33" s="4" t="str">
        <f>VLOOKUP(ALL_Issues2[[#This Row],[EA Epic Link]],Table466[],2,FALSE)</f>
        <v>Infrastructure Delivery Portfolio</v>
      </c>
      <c r="P33" s="4" t="str">
        <f>_xlfn.XLOOKUP(ALL_Issues2[[#This Row],[Epic Link]], Table35[Other Project Epic Links], Table35[EA Epic Links], ALL_Issues2[[#This Row],[Epic Link]])</f>
        <v>Core DevOps Services</v>
      </c>
    </row>
    <row r="34" spans="1:16" s="5" customFormat="1" ht="28.5" customHeight="1" x14ac:dyDescent="0.25">
      <c r="A34" s="12" t="s">
        <v>162</v>
      </c>
      <c r="B34" s="11" t="s">
        <v>55</v>
      </c>
      <c r="C34" s="13" t="s">
        <v>163</v>
      </c>
      <c r="D34" s="13" t="s">
        <v>164</v>
      </c>
      <c r="E34" s="11" t="s">
        <v>20</v>
      </c>
      <c r="F34" s="13" t="s">
        <v>58</v>
      </c>
      <c r="G34" s="13" t="s">
        <v>22</v>
      </c>
      <c r="H34" s="13" t="s">
        <v>165</v>
      </c>
      <c r="I34" s="13" t="s">
        <v>123</v>
      </c>
      <c r="J34" s="13" t="s">
        <v>108</v>
      </c>
      <c r="K34" s="13" t="s">
        <v>66</v>
      </c>
      <c r="L34" s="13" t="s">
        <v>125</v>
      </c>
      <c r="M34" s="13" t="s">
        <v>25</v>
      </c>
      <c r="N34" s="13" t="s">
        <v>25</v>
      </c>
      <c r="O34" s="4" t="str">
        <f>VLOOKUP(ALL_Issues2[[#This Row],[EA Epic Link]],Table466[],2,FALSE)</f>
        <v>Infrastructure Delivery Portfolio</v>
      </c>
      <c r="P34" s="4" t="str">
        <f>_xlfn.XLOOKUP(ALL_Issues2[[#This Row],[Epic Link]], Table35[Other Project Epic Links], Table35[EA Epic Links], ALL_Issues2[[#This Row],[Epic Link]])</f>
        <v>Core DevOps Services</v>
      </c>
    </row>
    <row r="35" spans="1:16" s="5" customFormat="1" ht="28.5" customHeight="1" x14ac:dyDescent="0.25">
      <c r="A35" s="12" t="s">
        <v>166</v>
      </c>
      <c r="B35" s="11" t="s">
        <v>17</v>
      </c>
      <c r="C35" s="13" t="s">
        <v>167</v>
      </c>
      <c r="D35" s="13" t="s">
        <v>168</v>
      </c>
      <c r="E35" s="11" t="s">
        <v>20</v>
      </c>
      <c r="F35" s="13" t="s">
        <v>21</v>
      </c>
      <c r="G35" s="13" t="s">
        <v>22</v>
      </c>
      <c r="H35" s="14" t="s">
        <v>59</v>
      </c>
      <c r="I35" s="13" t="s">
        <v>107</v>
      </c>
      <c r="J35" s="13" t="s">
        <v>108</v>
      </c>
      <c r="K35" s="13" t="s">
        <v>66</v>
      </c>
      <c r="L35" s="13" t="s">
        <v>161</v>
      </c>
      <c r="M35" s="13" t="s">
        <v>25</v>
      </c>
      <c r="N35" s="13" t="s">
        <v>25</v>
      </c>
      <c r="O35" s="4" t="str">
        <f>VLOOKUP(ALL_Issues2[[#This Row],[EA Epic Link]],Table466[],2,FALSE)</f>
        <v>Infrastructure Delivery Portfolio</v>
      </c>
      <c r="P35" s="4" t="str">
        <f>_xlfn.XLOOKUP(ALL_Issues2[[#This Row],[Epic Link]], Table35[Other Project Epic Links], Table35[EA Epic Links], ALL_Issues2[[#This Row],[Epic Link]])</f>
        <v>IT Service Management Platform</v>
      </c>
    </row>
    <row r="36" spans="1:16" s="5" customFormat="1" ht="28.5" customHeight="1" x14ac:dyDescent="0.25">
      <c r="A36" s="12" t="s">
        <v>169</v>
      </c>
      <c r="B36" s="11" t="s">
        <v>17</v>
      </c>
      <c r="C36" s="13" t="s">
        <v>170</v>
      </c>
      <c r="D36" s="13" t="s">
        <v>171</v>
      </c>
      <c r="E36" s="11" t="s">
        <v>48</v>
      </c>
      <c r="F36" s="13" t="s">
        <v>58</v>
      </c>
      <c r="G36" s="13" t="s">
        <v>22</v>
      </c>
      <c r="H36" s="13" t="s">
        <v>172</v>
      </c>
      <c r="I36" s="13" t="s">
        <v>173</v>
      </c>
      <c r="J36" s="13" t="s">
        <v>51</v>
      </c>
      <c r="K36" s="13" t="s">
        <v>129</v>
      </c>
      <c r="L36" s="13"/>
      <c r="M36" s="13" t="s">
        <v>25</v>
      </c>
      <c r="N36" s="13" t="s">
        <v>25</v>
      </c>
      <c r="O36" s="4" t="str">
        <f>VLOOKUP(ALL_Issues2[[#This Row],[EA Epic Link]],Table466[],2,FALSE)</f>
        <v>Corporate Delivery Portfolio</v>
      </c>
      <c r="P36" s="4" t="str">
        <f>_xlfn.XLOOKUP(ALL_Issues2[[#This Row],[Epic Link]], Table35[Other Project Epic Links], Table35[EA Epic Links], ALL_Issues2[[#This Row],[Epic Link]])</f>
        <v>Legal and Procurement</v>
      </c>
    </row>
    <row r="37" spans="1:16" s="5" customFormat="1" ht="28.5" customHeight="1" x14ac:dyDescent="0.25">
      <c r="A37" s="12" t="s">
        <v>174</v>
      </c>
      <c r="B37" s="11" t="s">
        <v>86</v>
      </c>
      <c r="C37" s="13" t="s">
        <v>175</v>
      </c>
      <c r="D37" s="13" t="s">
        <v>176</v>
      </c>
      <c r="E37" s="11" t="s">
        <v>186</v>
      </c>
      <c r="F37" s="13" t="s">
        <v>58</v>
      </c>
      <c r="G37" s="13" t="s">
        <v>22</v>
      </c>
      <c r="H37" s="13" t="s">
        <v>177</v>
      </c>
      <c r="I37" s="13" t="s">
        <v>123</v>
      </c>
      <c r="J37" s="13" t="s">
        <v>108</v>
      </c>
      <c r="K37" s="13" t="s">
        <v>66</v>
      </c>
      <c r="L37" s="13"/>
      <c r="M37" s="13" t="s">
        <v>25</v>
      </c>
      <c r="N37" s="13" t="s">
        <v>25</v>
      </c>
      <c r="O37" s="4" t="str">
        <f>VLOOKUP(ALL_Issues2[[#This Row],[EA Epic Link]],Table466[],2,FALSE)</f>
        <v>Infrastructure Delivery Portfolio</v>
      </c>
      <c r="P37" s="4" t="str">
        <f>_xlfn.XLOOKUP(ALL_Issues2[[#This Row],[Epic Link]], Table35[Other Project Epic Links], Table35[EA Epic Links], ALL_Issues2[[#This Row],[Epic Link]])</f>
        <v>Core DevOps Services</v>
      </c>
    </row>
    <row r="38" spans="1:16" s="5" customFormat="1" ht="28.5" customHeight="1" x14ac:dyDescent="0.25">
      <c r="A38" s="12" t="s">
        <v>178</v>
      </c>
      <c r="B38" s="11" t="s">
        <v>46</v>
      </c>
      <c r="C38" s="13" t="s">
        <v>179</v>
      </c>
      <c r="D38" s="13" t="s">
        <v>176</v>
      </c>
      <c r="E38" s="11" t="s">
        <v>186</v>
      </c>
      <c r="F38" s="13" t="s">
        <v>21</v>
      </c>
      <c r="G38" s="13" t="s">
        <v>22</v>
      </c>
      <c r="H38" s="13" t="s">
        <v>106</v>
      </c>
      <c r="I38" s="13" t="s">
        <v>123</v>
      </c>
      <c r="J38" s="13" t="s">
        <v>108</v>
      </c>
      <c r="K38" s="13" t="s">
        <v>66</v>
      </c>
      <c r="L38" s="13"/>
      <c r="M38" s="13" t="s">
        <v>25</v>
      </c>
      <c r="N38" s="13" t="s">
        <v>25</v>
      </c>
      <c r="O38" s="4" t="str">
        <f>VLOOKUP(ALL_Issues2[[#This Row],[EA Epic Link]],Table466[],2,FALSE)</f>
        <v>Infrastructure Delivery Portfolio</v>
      </c>
      <c r="P38" s="4" t="str">
        <f>_xlfn.XLOOKUP(ALL_Issues2[[#This Row],[Epic Link]], Table35[Other Project Epic Links], Table35[EA Epic Links], ALL_Issues2[[#This Row],[Epic Link]])</f>
        <v>Core DevOps Services</v>
      </c>
    </row>
    <row r="39" spans="1:16" s="5" customFormat="1" ht="28.5" customHeight="1" x14ac:dyDescent="0.25">
      <c r="A39" s="12" t="s">
        <v>180</v>
      </c>
      <c r="B39" s="11" t="s">
        <v>17</v>
      </c>
      <c r="C39" s="13" t="s">
        <v>181</v>
      </c>
      <c r="D39" s="13" t="s">
        <v>182</v>
      </c>
      <c r="E39" s="11" t="s">
        <v>20</v>
      </c>
      <c r="F39" s="13" t="s">
        <v>21</v>
      </c>
      <c r="G39" s="13" t="s">
        <v>22</v>
      </c>
      <c r="H39" s="13" t="s">
        <v>140</v>
      </c>
      <c r="I39" s="13" t="s">
        <v>141</v>
      </c>
      <c r="J39" s="13" t="s">
        <v>51</v>
      </c>
      <c r="K39" s="13" t="s">
        <v>23</v>
      </c>
      <c r="L39" s="13"/>
      <c r="M39" s="13" t="s">
        <v>25</v>
      </c>
      <c r="N39" s="13" t="s">
        <v>25</v>
      </c>
      <c r="O39" s="4" t="str">
        <f>VLOOKUP(ALL_Issues2[[#This Row],[EA Epic Link]],Table466[],2,FALSE)</f>
        <v>Corporate Delivery Portfolio</v>
      </c>
      <c r="P39" s="4" t="str">
        <f>_xlfn.XLOOKUP(ALL_Issues2[[#This Row],[Epic Link]], Table35[Other Project Epic Links], Table35[EA Epic Links], ALL_Issues2[[#This Row],[Epic Link]])</f>
        <v>Corporate Finance</v>
      </c>
    </row>
    <row r="40" spans="1:16" s="5" customFormat="1" ht="28.5" customHeight="1" x14ac:dyDescent="0.25">
      <c r="A40" s="12" t="s">
        <v>183</v>
      </c>
      <c r="B40" s="11" t="s">
        <v>86</v>
      </c>
      <c r="C40" s="13" t="s">
        <v>184</v>
      </c>
      <c r="D40" s="13" t="s">
        <v>185</v>
      </c>
      <c r="E40" s="11" t="s">
        <v>186</v>
      </c>
      <c r="F40" s="13" t="s">
        <v>21</v>
      </c>
      <c r="G40" s="13" t="s">
        <v>22</v>
      </c>
      <c r="H40" s="13" t="s">
        <v>66</v>
      </c>
      <c r="I40" s="13" t="s">
        <v>123</v>
      </c>
      <c r="J40" s="13" t="s">
        <v>108</v>
      </c>
      <c r="K40" s="13" t="s">
        <v>124</v>
      </c>
      <c r="L40" s="13"/>
      <c r="M40" s="13" t="s">
        <v>25</v>
      </c>
      <c r="N40" s="13" t="s">
        <v>25</v>
      </c>
      <c r="O40" s="4" t="str">
        <f>VLOOKUP(ALL_Issues2[[#This Row],[EA Epic Link]],Table466[],2,FALSE)</f>
        <v>Infrastructure Delivery Portfolio</v>
      </c>
      <c r="P40" s="4" t="str">
        <f>_xlfn.XLOOKUP(ALL_Issues2[[#This Row],[Epic Link]], Table35[Other Project Epic Links], Table35[EA Epic Links], ALL_Issues2[[#This Row],[Epic Link]])</f>
        <v>Core DevOps Services</v>
      </c>
    </row>
    <row r="41" spans="1:16" s="5" customFormat="1" ht="28.5" customHeight="1" x14ac:dyDescent="0.25">
      <c r="A41" s="12" t="s">
        <v>187</v>
      </c>
      <c r="B41" s="11" t="s">
        <v>46</v>
      </c>
      <c r="C41" s="13" t="s">
        <v>188</v>
      </c>
      <c r="D41" s="13" t="s">
        <v>189</v>
      </c>
      <c r="E41" s="11" t="s">
        <v>48</v>
      </c>
      <c r="F41" s="13" t="s">
        <v>21</v>
      </c>
      <c r="G41" s="13" t="s">
        <v>22</v>
      </c>
      <c r="H41" s="13" t="s">
        <v>66</v>
      </c>
      <c r="I41" s="13" t="s">
        <v>123</v>
      </c>
      <c r="J41" s="13" t="s">
        <v>101</v>
      </c>
      <c r="K41" s="13" t="s">
        <v>73</v>
      </c>
      <c r="L41" s="13"/>
      <c r="M41" s="13" t="s">
        <v>25</v>
      </c>
      <c r="N41" s="13" t="s">
        <v>25</v>
      </c>
      <c r="O41" s="4" t="str">
        <f>VLOOKUP(ALL_Issues2[[#This Row],[EA Epic Link]],Table466[],2,FALSE)</f>
        <v>Infrastructure Delivery Portfolio</v>
      </c>
      <c r="P41" s="4" t="str">
        <f>_xlfn.XLOOKUP(ALL_Issues2[[#This Row],[Epic Link]], Table35[Other Project Epic Links], Table35[EA Epic Links], ALL_Issues2[[#This Row],[Epic Link]])</f>
        <v>Core DevOps Services</v>
      </c>
    </row>
    <row r="42" spans="1:16" s="5" customFormat="1" ht="28.5" customHeight="1" x14ac:dyDescent="0.25">
      <c r="A42" s="12" t="s">
        <v>190</v>
      </c>
      <c r="B42" s="11" t="s">
        <v>46</v>
      </c>
      <c r="C42" s="13" t="s">
        <v>191</v>
      </c>
      <c r="D42" s="13" t="s">
        <v>192</v>
      </c>
      <c r="E42" s="11" t="s">
        <v>113</v>
      </c>
      <c r="F42" s="13" t="s">
        <v>58</v>
      </c>
      <c r="G42" s="13" t="s">
        <v>193</v>
      </c>
      <c r="H42" s="13" t="s">
        <v>66</v>
      </c>
      <c r="I42" s="13" t="s">
        <v>194</v>
      </c>
      <c r="J42" s="13" t="s">
        <v>108</v>
      </c>
      <c r="K42" s="13" t="s">
        <v>124</v>
      </c>
      <c r="L42" s="13" t="s">
        <v>73</v>
      </c>
      <c r="M42" s="13" t="s">
        <v>25</v>
      </c>
      <c r="N42" s="13" t="s">
        <v>25</v>
      </c>
      <c r="O42" s="4" t="str">
        <f>VLOOKUP(ALL_Issues2[[#This Row],[EA Epic Link]],Table466[],2,FALSE)</f>
        <v>IT Governance</v>
      </c>
      <c r="P42" s="4" t="str">
        <f>_xlfn.XLOOKUP(ALL_Issues2[[#This Row],[Epic Link]], Table35[Other Project Epic Links], Table35[EA Epic Links], ALL_Issues2[[#This Row],[Epic Link]])</f>
        <v>Architecture CoP</v>
      </c>
    </row>
    <row r="43" spans="1:16" s="5" customFormat="1" ht="28.5" customHeight="1" x14ac:dyDescent="0.25">
      <c r="A43" s="12" t="s">
        <v>195</v>
      </c>
      <c r="B43" s="11" t="s">
        <v>55</v>
      </c>
      <c r="C43" s="13" t="s">
        <v>196</v>
      </c>
      <c r="D43" s="13" t="s">
        <v>197</v>
      </c>
      <c r="E43" s="11" t="s">
        <v>113</v>
      </c>
      <c r="F43" s="13" t="s">
        <v>21</v>
      </c>
      <c r="G43" s="13" t="s">
        <v>22</v>
      </c>
      <c r="H43" s="13" t="s">
        <v>63</v>
      </c>
      <c r="I43" s="13" t="s">
        <v>64</v>
      </c>
      <c r="J43" s="13" t="s">
        <v>65</v>
      </c>
      <c r="K43" s="13" t="s">
        <v>73</v>
      </c>
      <c r="L43" s="13" t="s">
        <v>67</v>
      </c>
      <c r="M43" s="13" t="s">
        <v>68</v>
      </c>
      <c r="N43" s="13" t="s">
        <v>25</v>
      </c>
      <c r="O43" s="4" t="str">
        <f>VLOOKUP(ALL_Issues2[[#This Row],[EA Epic Link]],Table466[],2,FALSE)</f>
        <v>Infrastructure Delivery Portfolio</v>
      </c>
      <c r="P43" s="4" t="str">
        <f>_xlfn.XLOOKUP(ALL_Issues2[[#This Row],[Epic Link]], Table35[Other Project Epic Links], Table35[EA Epic Links], ALL_Issues2[[#This Row],[Epic Link]])</f>
        <v>End User Device Management</v>
      </c>
    </row>
    <row r="44" spans="1:16" s="5" customFormat="1" ht="28.5" customHeight="1" x14ac:dyDescent="0.25">
      <c r="A44" s="12" t="s">
        <v>198</v>
      </c>
      <c r="B44" s="11" t="s">
        <v>55</v>
      </c>
      <c r="C44" s="13" t="s">
        <v>199</v>
      </c>
      <c r="D44" s="13" t="s">
        <v>200</v>
      </c>
      <c r="E44" s="11" t="s">
        <v>48</v>
      </c>
      <c r="F44" s="13" t="s">
        <v>58</v>
      </c>
      <c r="G44" s="13" t="s">
        <v>22</v>
      </c>
      <c r="H44" s="13" t="s">
        <v>201</v>
      </c>
      <c r="I44" s="13" t="s">
        <v>202</v>
      </c>
      <c r="J44" s="13" t="s">
        <v>65</v>
      </c>
      <c r="K44" s="13" t="s">
        <v>156</v>
      </c>
      <c r="L44" s="13" t="s">
        <v>161</v>
      </c>
      <c r="M44" s="13" t="s">
        <v>68</v>
      </c>
      <c r="N44" s="13" t="s">
        <v>68</v>
      </c>
      <c r="O44" s="4" t="str">
        <f>VLOOKUP(ALL_Issues2[[#This Row],[EA Epic Link]],Table466[],2,FALSE)</f>
        <v>Security Delivery Portfolio</v>
      </c>
      <c r="P44" s="4" t="str">
        <f>_xlfn.XLOOKUP(ALL_Issues2[[#This Row],[Epic Link]], Table35[Other Project Epic Links], Table35[EA Epic Links], ALL_Issues2[[#This Row],[Epic Link]])</f>
        <v>Identity and Access</v>
      </c>
    </row>
    <row r="45" spans="1:16" s="5" customFormat="1" ht="28.5" customHeight="1" x14ac:dyDescent="0.25">
      <c r="A45" s="12" t="s">
        <v>203</v>
      </c>
      <c r="B45" s="11" t="s">
        <v>17</v>
      </c>
      <c r="C45" s="13" t="s">
        <v>204</v>
      </c>
      <c r="D45" s="13" t="s">
        <v>205</v>
      </c>
      <c r="E45" s="11" t="s">
        <v>118</v>
      </c>
      <c r="F45" s="13" t="s">
        <v>58</v>
      </c>
      <c r="G45" s="13" t="s">
        <v>22</v>
      </c>
      <c r="H45" s="13" t="s">
        <v>172</v>
      </c>
      <c r="I45" s="13" t="s">
        <v>173</v>
      </c>
      <c r="J45" s="13" t="s">
        <v>51</v>
      </c>
      <c r="K45" s="13" t="s">
        <v>129</v>
      </c>
      <c r="L45" s="13"/>
      <c r="M45" s="13" t="s">
        <v>25</v>
      </c>
      <c r="N45" s="13" t="s">
        <v>25</v>
      </c>
      <c r="O45" s="4" t="str">
        <f>VLOOKUP(ALL_Issues2[[#This Row],[EA Epic Link]],Table466[],2,FALSE)</f>
        <v>Corporate Delivery Portfolio</v>
      </c>
      <c r="P45" s="4" t="str">
        <f>_xlfn.XLOOKUP(ALL_Issues2[[#This Row],[Epic Link]], Table35[Other Project Epic Links], Table35[EA Epic Links], ALL_Issues2[[#This Row],[Epic Link]])</f>
        <v>Legal and Procurement</v>
      </c>
    </row>
    <row r="46" spans="1:16" s="5" customFormat="1" ht="28.5" customHeight="1" x14ac:dyDescent="0.25">
      <c r="A46" s="12" t="s">
        <v>206</v>
      </c>
      <c r="B46" s="11" t="s">
        <v>46</v>
      </c>
      <c r="C46" s="13" t="s">
        <v>207</v>
      </c>
      <c r="D46" s="13" t="s">
        <v>208</v>
      </c>
      <c r="E46" s="11" t="s">
        <v>20</v>
      </c>
      <c r="F46" s="13" t="s">
        <v>58</v>
      </c>
      <c r="G46" s="13" t="s">
        <v>22</v>
      </c>
      <c r="H46" s="13" t="s">
        <v>130</v>
      </c>
      <c r="I46" s="13" t="s">
        <v>94</v>
      </c>
      <c r="J46" s="13" t="s">
        <v>94</v>
      </c>
      <c r="K46" s="13" t="s">
        <v>124</v>
      </c>
      <c r="L46" s="13" t="s">
        <v>67</v>
      </c>
      <c r="M46" s="13" t="s">
        <v>68</v>
      </c>
      <c r="N46" s="13" t="s">
        <v>68</v>
      </c>
      <c r="O46" s="4" t="str">
        <f>VLOOKUP(ALL_Issues2[[#This Row],[EA Epic Link]],Table466[],2,FALSE)</f>
        <v>Infrastructure Delivery Portfolio</v>
      </c>
      <c r="P46" s="4" t="str">
        <f>_xlfn.XLOOKUP(ALL_Issues2[[#This Row],[Epic Link]], Table35[Other Project Epic Links], Table35[EA Epic Links], ALL_Issues2[[#This Row],[Epic Link]])</f>
        <v>Network</v>
      </c>
    </row>
    <row r="47" spans="1:16" s="5" customFormat="1" ht="28.5" customHeight="1" x14ac:dyDescent="0.25">
      <c r="A47" s="12" t="s">
        <v>209</v>
      </c>
      <c r="B47" s="11" t="s">
        <v>46</v>
      </c>
      <c r="C47" s="13" t="s">
        <v>210</v>
      </c>
      <c r="D47" s="13" t="s">
        <v>211</v>
      </c>
      <c r="E47" s="11" t="s">
        <v>113</v>
      </c>
      <c r="F47" s="13" t="s">
        <v>58</v>
      </c>
      <c r="G47" s="13" t="s">
        <v>22</v>
      </c>
      <c r="H47" s="13" t="s">
        <v>212</v>
      </c>
      <c r="I47" s="13" t="s">
        <v>94</v>
      </c>
      <c r="J47" s="13" t="s">
        <v>94</v>
      </c>
      <c r="K47" s="13" t="s">
        <v>124</v>
      </c>
      <c r="L47" s="13"/>
      <c r="M47" s="13" t="s">
        <v>25</v>
      </c>
      <c r="N47" s="13" t="s">
        <v>25</v>
      </c>
      <c r="O47" s="4" t="str">
        <f>VLOOKUP(ALL_Issues2[[#This Row],[EA Epic Link]],Table466[],2,FALSE)</f>
        <v>Infrastructure Delivery Portfolio</v>
      </c>
      <c r="P47" s="4" t="str">
        <f>_xlfn.XLOOKUP(ALL_Issues2[[#This Row],[Epic Link]], Table35[Other Project Epic Links], Table35[EA Epic Links], ALL_Issues2[[#This Row],[Epic Link]])</f>
        <v>Network</v>
      </c>
    </row>
    <row r="48" spans="1:16" s="5" customFormat="1" ht="28.5" customHeight="1" x14ac:dyDescent="0.25">
      <c r="A48" s="12" t="s">
        <v>213</v>
      </c>
      <c r="B48" s="11" t="s">
        <v>86</v>
      </c>
      <c r="C48" s="13" t="s">
        <v>214</v>
      </c>
      <c r="D48" s="13" t="s">
        <v>215</v>
      </c>
      <c r="E48" s="11" t="s">
        <v>20</v>
      </c>
      <c r="F48" s="13" t="s">
        <v>58</v>
      </c>
      <c r="G48" s="13" t="s">
        <v>22</v>
      </c>
      <c r="H48" s="13" t="s">
        <v>66</v>
      </c>
      <c r="I48" s="13" t="s">
        <v>123</v>
      </c>
      <c r="J48" s="13" t="s">
        <v>108</v>
      </c>
      <c r="K48" s="13" t="s">
        <v>124</v>
      </c>
      <c r="L48" s="13" t="s">
        <v>125</v>
      </c>
      <c r="M48" s="13" t="s">
        <v>25</v>
      </c>
      <c r="N48" s="13" t="s">
        <v>25</v>
      </c>
      <c r="O48" s="4" t="str">
        <f>VLOOKUP(ALL_Issues2[[#This Row],[EA Epic Link]],Table466[],2,FALSE)</f>
        <v>Infrastructure Delivery Portfolio</v>
      </c>
      <c r="P48" s="4" t="str">
        <f>_xlfn.XLOOKUP(ALL_Issues2[[#This Row],[Epic Link]], Table35[Other Project Epic Links], Table35[EA Epic Links], ALL_Issues2[[#This Row],[Epic Link]])</f>
        <v>Core DevOps Services</v>
      </c>
    </row>
    <row r="49" spans="1:16" s="5" customFormat="1" ht="28.5" customHeight="1" x14ac:dyDescent="0.25">
      <c r="A49" s="12" t="s">
        <v>216</v>
      </c>
      <c r="B49" s="11" t="s">
        <v>46</v>
      </c>
      <c r="C49" s="13" t="s">
        <v>217</v>
      </c>
      <c r="D49" s="13" t="s">
        <v>218</v>
      </c>
      <c r="E49" s="11" t="s">
        <v>113</v>
      </c>
      <c r="F49" s="13" t="s">
        <v>58</v>
      </c>
      <c r="G49" s="13" t="s">
        <v>22</v>
      </c>
      <c r="H49" s="13" t="s">
        <v>124</v>
      </c>
      <c r="I49" s="13" t="s">
        <v>64</v>
      </c>
      <c r="J49" s="13" t="s">
        <v>65</v>
      </c>
      <c r="K49" s="13" t="s">
        <v>73</v>
      </c>
      <c r="L49" s="13" t="s">
        <v>219</v>
      </c>
      <c r="M49" s="13" t="s">
        <v>25</v>
      </c>
      <c r="N49" s="13" t="s">
        <v>25</v>
      </c>
      <c r="O49" s="4" t="str">
        <f>VLOOKUP(ALL_Issues2[[#This Row],[EA Epic Link]],Table466[],2,FALSE)</f>
        <v>Infrastructure Delivery Portfolio</v>
      </c>
      <c r="P49" s="4" t="str">
        <f>_xlfn.XLOOKUP(ALL_Issues2[[#This Row],[Epic Link]], Table35[Other Project Epic Links], Table35[EA Epic Links], ALL_Issues2[[#This Row],[Epic Link]])</f>
        <v>End User Device Management</v>
      </c>
    </row>
    <row r="50" spans="1:16" s="5" customFormat="1" ht="28.5" customHeight="1" x14ac:dyDescent="0.25">
      <c r="A50" s="12" t="s">
        <v>220</v>
      </c>
      <c r="B50" s="11" t="s">
        <v>55</v>
      </c>
      <c r="C50" s="13" t="s">
        <v>221</v>
      </c>
      <c r="D50" s="13" t="s">
        <v>222</v>
      </c>
      <c r="E50" s="11" t="s">
        <v>113</v>
      </c>
      <c r="F50" s="13" t="s">
        <v>21</v>
      </c>
      <c r="G50" s="13" t="s">
        <v>22</v>
      </c>
      <c r="H50" s="13" t="s">
        <v>223</v>
      </c>
      <c r="I50" s="13" t="s">
        <v>224</v>
      </c>
      <c r="J50" s="13" t="s">
        <v>101</v>
      </c>
      <c r="K50" s="13" t="s">
        <v>225</v>
      </c>
      <c r="L50" s="13" t="s">
        <v>226</v>
      </c>
      <c r="M50" s="13" t="s">
        <v>25</v>
      </c>
      <c r="N50" s="13" t="s">
        <v>25</v>
      </c>
      <c r="O50" s="4" t="str">
        <f>VLOOKUP(ALL_Issues2[[#This Row],[EA Epic Link]],Table466[],2,FALSE)</f>
        <v>Data and Integration Delivery Portfolio</v>
      </c>
      <c r="P50" s="4" t="str">
        <f>_xlfn.XLOOKUP(ALL_Issues2[[#This Row],[Epic Link]], Table35[Other Project Epic Links], Table35[EA Epic Links], ALL_Issues2[[#This Row],[Epic Link]])</f>
        <v>Core API and Integration Platform</v>
      </c>
    </row>
    <row r="51" spans="1:16" s="5" customFormat="1" ht="28.5" customHeight="1" x14ac:dyDescent="0.25">
      <c r="A51" s="12" t="s">
        <v>227</v>
      </c>
      <c r="B51" s="11" t="s">
        <v>46</v>
      </c>
      <c r="C51" s="13" t="s">
        <v>228</v>
      </c>
      <c r="D51" s="13" t="s">
        <v>229</v>
      </c>
      <c r="E51" s="11" t="s">
        <v>20</v>
      </c>
      <c r="F51" s="13" t="s">
        <v>92</v>
      </c>
      <c r="G51" s="13" t="s">
        <v>22</v>
      </c>
      <c r="H51" s="13" t="s">
        <v>124</v>
      </c>
      <c r="I51" s="13" t="s">
        <v>94</v>
      </c>
      <c r="J51" s="13" t="s">
        <v>94</v>
      </c>
      <c r="K51" s="13" t="s">
        <v>73</v>
      </c>
      <c r="L51" s="13" t="s">
        <v>67</v>
      </c>
      <c r="M51" s="13" t="s">
        <v>25</v>
      </c>
      <c r="N51" s="13" t="s">
        <v>25</v>
      </c>
      <c r="O51" s="4" t="str">
        <f>VLOOKUP(ALL_Issues2[[#This Row],[EA Epic Link]],Table466[],2,FALSE)</f>
        <v>Infrastructure Delivery Portfolio</v>
      </c>
      <c r="P51" s="4" t="str">
        <f>_xlfn.XLOOKUP(ALL_Issues2[[#This Row],[Epic Link]], Table35[Other Project Epic Links], Table35[EA Epic Links], ALL_Issues2[[#This Row],[Epic Link]])</f>
        <v>Network</v>
      </c>
    </row>
    <row r="52" spans="1:16" s="5" customFormat="1" ht="28.5" customHeight="1" x14ac:dyDescent="0.25">
      <c r="A52" s="12" t="s">
        <v>230</v>
      </c>
      <c r="B52" s="11" t="s">
        <v>55</v>
      </c>
      <c r="C52" s="13" t="s">
        <v>231</v>
      </c>
      <c r="D52" s="13" t="s">
        <v>232</v>
      </c>
      <c r="E52" s="11" t="s">
        <v>113</v>
      </c>
      <c r="F52" s="13" t="s">
        <v>58</v>
      </c>
      <c r="G52" s="13" t="s">
        <v>22</v>
      </c>
      <c r="H52" s="13" t="s">
        <v>233</v>
      </c>
      <c r="I52" s="13" t="s">
        <v>234</v>
      </c>
      <c r="J52" s="13" t="s">
        <v>65</v>
      </c>
      <c r="K52" s="13" t="s">
        <v>124</v>
      </c>
      <c r="L52" s="13" t="s">
        <v>67</v>
      </c>
      <c r="M52" s="13" t="s">
        <v>25</v>
      </c>
      <c r="N52" s="13" t="s">
        <v>68</v>
      </c>
      <c r="O52" s="4" t="str">
        <f>VLOOKUP(ALL_Issues2[[#This Row],[EA Epic Link]],Table466[],2,FALSE)</f>
        <v>Infrastructure Delivery Portfolio</v>
      </c>
      <c r="P52" s="4" t="str">
        <f>_xlfn.XLOOKUP(ALL_Issues2[[#This Row],[Epic Link]], Table35[Other Project Epic Links], Table35[EA Epic Links], ALL_Issues2[[#This Row],[Epic Link]])</f>
        <v>Communication Services</v>
      </c>
    </row>
    <row r="53" spans="1:16" s="5" customFormat="1" ht="28.5" customHeight="1" x14ac:dyDescent="0.25">
      <c r="A53" s="12" t="s">
        <v>235</v>
      </c>
      <c r="B53" s="11" t="s">
        <v>17</v>
      </c>
      <c r="C53" s="13" t="s">
        <v>236</v>
      </c>
      <c r="D53" s="13" t="s">
        <v>237</v>
      </c>
      <c r="E53" s="11" t="s">
        <v>20</v>
      </c>
      <c r="F53" s="13" t="s">
        <v>58</v>
      </c>
      <c r="G53" s="13" t="s">
        <v>22</v>
      </c>
      <c r="H53" s="13" t="s">
        <v>130</v>
      </c>
      <c r="I53" s="13" t="s">
        <v>135</v>
      </c>
      <c r="J53" s="13" t="s">
        <v>65</v>
      </c>
      <c r="K53" s="13" t="s">
        <v>124</v>
      </c>
      <c r="L53" s="13" t="s">
        <v>136</v>
      </c>
      <c r="M53" s="13" t="s">
        <v>25</v>
      </c>
      <c r="N53" s="13" t="s">
        <v>25</v>
      </c>
      <c r="O53" s="4" t="str">
        <f>VLOOKUP(ALL_Issues2[[#This Row],[EA Epic Link]],Table466[],2,FALSE)</f>
        <v>Corporate Delivery Portfolio</v>
      </c>
      <c r="P53" s="4" t="str">
        <f>_xlfn.XLOOKUP(ALL_Issues2[[#This Row],[Epic Link]], Table35[Other Project Epic Links], Table35[EA Epic Links], ALL_Issues2[[#This Row],[Epic Link]])</f>
        <v>Facilities and Real Estate</v>
      </c>
    </row>
    <row r="54" spans="1:16" s="5" customFormat="1" ht="28.5" customHeight="1" x14ac:dyDescent="0.25">
      <c r="A54" s="12" t="s">
        <v>238</v>
      </c>
      <c r="B54" s="11" t="s">
        <v>17</v>
      </c>
      <c r="C54" s="13" t="s">
        <v>239</v>
      </c>
      <c r="D54" s="13" t="s">
        <v>904</v>
      </c>
      <c r="E54" s="11" t="s">
        <v>145</v>
      </c>
      <c r="F54" s="13" t="s">
        <v>92</v>
      </c>
      <c r="G54" s="13" t="s">
        <v>22</v>
      </c>
      <c r="H54" s="13" t="s">
        <v>241</v>
      </c>
      <c r="I54" s="13" t="s">
        <v>242</v>
      </c>
      <c r="J54" s="13" t="s">
        <v>51</v>
      </c>
      <c r="K54" s="13" t="s">
        <v>73</v>
      </c>
      <c r="L54" s="13" t="s">
        <v>136</v>
      </c>
      <c r="M54" s="13" t="s">
        <v>25</v>
      </c>
      <c r="N54" s="13" t="s">
        <v>25</v>
      </c>
      <c r="O54" s="4" t="str">
        <f>VLOOKUP(ALL_Issues2[[#This Row],[EA Epic Link]],Table466[],2,FALSE)</f>
        <v>Corporate Delivery Portfolio</v>
      </c>
      <c r="P54" s="4" t="str">
        <f>_xlfn.XLOOKUP(ALL_Issues2[[#This Row],[Epic Link]], Table35[Other Project Epic Links], Table35[EA Epic Links], ALL_Issues2[[#This Row],[Epic Link]])</f>
        <v>Business Process Automation</v>
      </c>
    </row>
    <row r="55" spans="1:16" s="5" customFormat="1" ht="28.5" customHeight="1" x14ac:dyDescent="0.25">
      <c r="A55" s="12" t="s">
        <v>243</v>
      </c>
      <c r="B55" s="11" t="s">
        <v>46</v>
      </c>
      <c r="C55" s="13" t="s">
        <v>244</v>
      </c>
      <c r="D55" s="13" t="s">
        <v>245</v>
      </c>
      <c r="E55" s="11" t="s">
        <v>48</v>
      </c>
      <c r="F55" s="13" t="s">
        <v>58</v>
      </c>
      <c r="G55" s="13" t="s">
        <v>246</v>
      </c>
      <c r="H55" s="13" t="s">
        <v>124</v>
      </c>
      <c r="I55" s="13" t="s">
        <v>247</v>
      </c>
      <c r="J55" s="13" t="s">
        <v>160</v>
      </c>
      <c r="K55" s="13" t="s">
        <v>73</v>
      </c>
      <c r="L55" s="13" t="s">
        <v>67</v>
      </c>
      <c r="M55" s="13" t="s">
        <v>25</v>
      </c>
      <c r="N55" s="13" t="s">
        <v>25</v>
      </c>
      <c r="O55" s="4" t="str">
        <f>VLOOKUP(ALL_Issues2[[#This Row],[EA Epic Link]],Table466[],2,FALSE)</f>
        <v>Infrastructure Delivery Portfolio</v>
      </c>
      <c r="P55" s="4" t="str">
        <f>_xlfn.XLOOKUP(ALL_Issues2[[#This Row],[Epic Link]], Table35[Other Project Epic Links], Table35[EA Epic Links], ALL_Issues2[[#This Row],[Epic Link]])</f>
        <v>End User Productivity</v>
      </c>
    </row>
    <row r="56" spans="1:16" s="5" customFormat="1" ht="28.5" customHeight="1" x14ac:dyDescent="0.25">
      <c r="A56" s="12" t="s">
        <v>248</v>
      </c>
      <c r="B56" s="11" t="s">
        <v>17</v>
      </c>
      <c r="C56" s="13" t="s">
        <v>249</v>
      </c>
      <c r="D56" s="13" t="s">
        <v>250</v>
      </c>
      <c r="E56" s="11" t="s">
        <v>251</v>
      </c>
      <c r="F56" s="13" t="s">
        <v>58</v>
      </c>
      <c r="G56" s="13" t="s">
        <v>22</v>
      </c>
      <c r="H56" s="13" t="s">
        <v>66</v>
      </c>
      <c r="I56" s="13" t="s">
        <v>252</v>
      </c>
      <c r="J56" s="13" t="s">
        <v>51</v>
      </c>
      <c r="K56" s="13" t="s">
        <v>23</v>
      </c>
      <c r="L56" s="13"/>
      <c r="M56" s="13" t="s">
        <v>25</v>
      </c>
      <c r="N56" s="13" t="s">
        <v>25</v>
      </c>
      <c r="O56" s="4" t="str">
        <f>VLOOKUP(ALL_Issues2[[#This Row],[EA Epic Link]],Table466[],2,FALSE)</f>
        <v>Corporate Delivery Portfolio</v>
      </c>
      <c r="P56" s="4" t="str">
        <f>_xlfn.XLOOKUP(ALL_Issues2[[#This Row],[Epic Link]], Table35[Other Project Epic Links], Table35[EA Epic Links], ALL_Issues2[[#This Row],[Epic Link]])</f>
        <v>Governance, Risk and Compliance</v>
      </c>
    </row>
    <row r="57" spans="1:16" s="5" customFormat="1" ht="28.5" customHeight="1" x14ac:dyDescent="0.25">
      <c r="A57" s="12" t="s">
        <v>253</v>
      </c>
      <c r="B57" s="11" t="s">
        <v>17</v>
      </c>
      <c r="C57" s="13" t="s">
        <v>254</v>
      </c>
      <c r="D57" s="13" t="s">
        <v>255</v>
      </c>
      <c r="E57" s="11" t="s">
        <v>48</v>
      </c>
      <c r="F57" s="13" t="s">
        <v>21</v>
      </c>
      <c r="G57" s="13" t="s">
        <v>22</v>
      </c>
      <c r="H57" s="13" t="s">
        <v>66</v>
      </c>
      <c r="I57" s="13" t="s">
        <v>247</v>
      </c>
      <c r="J57" s="13" t="s">
        <v>65</v>
      </c>
      <c r="K57" s="13" t="s">
        <v>156</v>
      </c>
      <c r="L57" s="13" t="s">
        <v>67</v>
      </c>
      <c r="M57" s="13" t="s">
        <v>25</v>
      </c>
      <c r="N57" s="13" t="s">
        <v>25</v>
      </c>
      <c r="O57" s="4" t="str">
        <f>VLOOKUP(ALL_Issues2[[#This Row],[EA Epic Link]],Table466[],2,FALSE)</f>
        <v>Infrastructure Delivery Portfolio</v>
      </c>
      <c r="P57" s="4" t="str">
        <f>_xlfn.XLOOKUP(ALL_Issues2[[#This Row],[Epic Link]], Table35[Other Project Epic Links], Table35[EA Epic Links], ALL_Issues2[[#This Row],[Epic Link]])</f>
        <v>End User Productivity</v>
      </c>
    </row>
    <row r="58" spans="1:16" s="5" customFormat="1" ht="28.5" customHeight="1" x14ac:dyDescent="0.25">
      <c r="A58" s="12" t="s">
        <v>256</v>
      </c>
      <c r="B58" s="11" t="s">
        <v>46</v>
      </c>
      <c r="C58" s="13" t="s">
        <v>257</v>
      </c>
      <c r="D58" s="13" t="s">
        <v>258</v>
      </c>
      <c r="E58" s="11" t="s">
        <v>48</v>
      </c>
      <c r="F58" s="13" t="s">
        <v>92</v>
      </c>
      <c r="G58" s="13" t="s">
        <v>22</v>
      </c>
      <c r="H58" s="13" t="s">
        <v>66</v>
      </c>
      <c r="I58" s="13" t="s">
        <v>123</v>
      </c>
      <c r="J58" s="13" t="s">
        <v>108</v>
      </c>
      <c r="K58" s="13" t="s">
        <v>124</v>
      </c>
      <c r="L58" s="13" t="s">
        <v>67</v>
      </c>
      <c r="M58" s="13" t="s">
        <v>68</v>
      </c>
      <c r="N58" s="13" t="s">
        <v>25</v>
      </c>
      <c r="O58" s="4" t="str">
        <f>VLOOKUP(ALL_Issues2[[#This Row],[EA Epic Link]],Table466[],2,FALSE)</f>
        <v>Infrastructure Delivery Portfolio</v>
      </c>
      <c r="P58" s="4" t="str">
        <f>_xlfn.XLOOKUP(ALL_Issues2[[#This Row],[Epic Link]], Table35[Other Project Epic Links], Table35[EA Epic Links], ALL_Issues2[[#This Row],[Epic Link]])</f>
        <v>Core DevOps Services</v>
      </c>
    </row>
    <row r="59" spans="1:16" s="5" customFormat="1" ht="28.5" customHeight="1" x14ac:dyDescent="0.25">
      <c r="A59" s="12" t="s">
        <v>259</v>
      </c>
      <c r="B59" s="11" t="s">
        <v>46</v>
      </c>
      <c r="C59" s="13" t="s">
        <v>260</v>
      </c>
      <c r="D59" s="13" t="s">
        <v>261</v>
      </c>
      <c r="E59" s="11" t="s">
        <v>48</v>
      </c>
      <c r="F59" s="13" t="s">
        <v>21</v>
      </c>
      <c r="G59" s="13" t="s">
        <v>22</v>
      </c>
      <c r="H59" s="13" t="s">
        <v>49</v>
      </c>
      <c r="I59" s="13" t="s">
        <v>50</v>
      </c>
      <c r="J59" s="13" t="s">
        <v>51</v>
      </c>
      <c r="K59" s="13" t="s">
        <v>49</v>
      </c>
      <c r="L59" s="13"/>
      <c r="M59" s="13" t="s">
        <v>25</v>
      </c>
      <c r="N59" s="13" t="s">
        <v>25</v>
      </c>
      <c r="O59" s="4" t="str">
        <f>VLOOKUP(ALL_Issues2[[#This Row],[EA Epic Link]],Table466[],2,FALSE)</f>
        <v>Corporate Delivery Portfolio</v>
      </c>
      <c r="P59" s="4" t="str">
        <f>_xlfn.XLOOKUP(ALL_Issues2[[#This Row],[Epic Link]], Table35[Other Project Epic Links], Table35[EA Epic Links], ALL_Issues2[[#This Row],[Epic Link]])</f>
        <v>Client Services Operations</v>
      </c>
    </row>
    <row r="60" spans="1:16" s="5" customFormat="1" ht="28.5" customHeight="1" x14ac:dyDescent="0.25">
      <c r="A60" s="12" t="s">
        <v>262</v>
      </c>
      <c r="B60" s="11" t="s">
        <v>55</v>
      </c>
      <c r="C60" s="13" t="s">
        <v>263</v>
      </c>
      <c r="D60" s="13" t="s">
        <v>263</v>
      </c>
      <c r="E60" s="11" t="s">
        <v>48</v>
      </c>
      <c r="F60" s="13" t="s">
        <v>21</v>
      </c>
      <c r="G60" s="13" t="s">
        <v>22</v>
      </c>
      <c r="H60" s="13" t="s">
        <v>49</v>
      </c>
      <c r="I60" s="13" t="s">
        <v>50</v>
      </c>
      <c r="J60" s="13" t="s">
        <v>51</v>
      </c>
      <c r="K60" s="13" t="s">
        <v>49</v>
      </c>
      <c r="L60" s="13"/>
      <c r="M60" s="13" t="s">
        <v>25</v>
      </c>
      <c r="N60" s="13" t="s">
        <v>25</v>
      </c>
      <c r="O60" s="4" t="str">
        <f>VLOOKUP(ALL_Issues2[[#This Row],[EA Epic Link]],Table466[],2,FALSE)</f>
        <v>Corporate Delivery Portfolio</v>
      </c>
      <c r="P60" s="4" t="str">
        <f>_xlfn.XLOOKUP(ALL_Issues2[[#This Row],[Epic Link]], Table35[Other Project Epic Links], Table35[EA Epic Links], ALL_Issues2[[#This Row],[Epic Link]])</f>
        <v>Client Services Operations</v>
      </c>
    </row>
    <row r="61" spans="1:16" s="5" customFormat="1" ht="28.5" customHeight="1" x14ac:dyDescent="0.25">
      <c r="A61" s="12" t="s">
        <v>264</v>
      </c>
      <c r="B61" s="11" t="s">
        <v>55</v>
      </c>
      <c r="C61" s="13" t="s">
        <v>265</v>
      </c>
      <c r="D61" s="13" t="s">
        <v>266</v>
      </c>
      <c r="E61" s="11" t="s">
        <v>20</v>
      </c>
      <c r="F61" s="13" t="s">
        <v>21</v>
      </c>
      <c r="G61" s="13" t="s">
        <v>22</v>
      </c>
      <c r="H61" s="13" t="s">
        <v>49</v>
      </c>
      <c r="I61" s="13" t="s">
        <v>50</v>
      </c>
      <c r="J61" s="13" t="s">
        <v>51</v>
      </c>
      <c r="K61" s="13" t="s">
        <v>49</v>
      </c>
      <c r="L61" s="13"/>
      <c r="M61" s="13" t="s">
        <v>25</v>
      </c>
      <c r="N61" s="13" t="s">
        <v>25</v>
      </c>
      <c r="O61" s="4" t="str">
        <f>VLOOKUP(ALL_Issues2[[#This Row],[EA Epic Link]],Table466[],2,FALSE)</f>
        <v>Corporate Delivery Portfolio</v>
      </c>
      <c r="P61" s="4" t="str">
        <f>_xlfn.XLOOKUP(ALL_Issues2[[#This Row],[Epic Link]], Table35[Other Project Epic Links], Table35[EA Epic Links], ALL_Issues2[[#This Row],[Epic Link]])</f>
        <v>Client Services Operations</v>
      </c>
    </row>
    <row r="62" spans="1:16" s="5" customFormat="1" ht="28.5" customHeight="1" x14ac:dyDescent="0.25">
      <c r="A62" s="12" t="s">
        <v>267</v>
      </c>
      <c r="B62" s="11" t="s">
        <v>55</v>
      </c>
      <c r="C62" s="13" t="s">
        <v>268</v>
      </c>
      <c r="D62" s="13" t="s">
        <v>269</v>
      </c>
      <c r="E62" s="11" t="s">
        <v>113</v>
      </c>
      <c r="F62" s="13" t="s">
        <v>58</v>
      </c>
      <c r="G62" s="13" t="s">
        <v>22</v>
      </c>
      <c r="H62" s="13" t="s">
        <v>49</v>
      </c>
      <c r="I62" s="13" t="s">
        <v>50</v>
      </c>
      <c r="J62" s="13" t="s">
        <v>51</v>
      </c>
      <c r="K62" s="13" t="s">
        <v>102</v>
      </c>
      <c r="L62" s="13"/>
      <c r="M62" s="13" t="s">
        <v>25</v>
      </c>
      <c r="N62" s="13" t="s">
        <v>25</v>
      </c>
      <c r="O62" s="4" t="str">
        <f>VLOOKUP(ALL_Issues2[[#This Row],[EA Epic Link]],Table466[],2,FALSE)</f>
        <v>Corporate Delivery Portfolio</v>
      </c>
      <c r="P62" s="4" t="str">
        <f>_xlfn.XLOOKUP(ALL_Issues2[[#This Row],[Epic Link]], Table35[Other Project Epic Links], Table35[EA Epic Links], ALL_Issues2[[#This Row],[Epic Link]])</f>
        <v>Client Services Operations</v>
      </c>
    </row>
    <row r="63" spans="1:16" s="5" customFormat="1" ht="28.5" customHeight="1" x14ac:dyDescent="0.25">
      <c r="A63" s="12" t="s">
        <v>270</v>
      </c>
      <c r="B63" s="11" t="s">
        <v>55</v>
      </c>
      <c r="C63" s="13" t="s">
        <v>271</v>
      </c>
      <c r="D63" s="13" t="s">
        <v>272</v>
      </c>
      <c r="E63" s="11" t="s">
        <v>20</v>
      </c>
      <c r="F63" s="13" t="s">
        <v>21</v>
      </c>
      <c r="G63" s="13" t="s">
        <v>22</v>
      </c>
      <c r="H63" s="13" t="s">
        <v>49</v>
      </c>
      <c r="I63" s="13" t="s">
        <v>50</v>
      </c>
      <c r="J63" s="13" t="s">
        <v>51</v>
      </c>
      <c r="K63" s="13" t="s">
        <v>52</v>
      </c>
      <c r="L63" s="13"/>
      <c r="M63" s="13" t="s">
        <v>25</v>
      </c>
      <c r="N63" s="13" t="s">
        <v>25</v>
      </c>
      <c r="O63" s="4" t="str">
        <f>VLOOKUP(ALL_Issues2[[#This Row],[EA Epic Link]],Table466[],2,FALSE)</f>
        <v>Corporate Delivery Portfolio</v>
      </c>
      <c r="P63" s="4" t="str">
        <f>_xlfn.XLOOKUP(ALL_Issues2[[#This Row],[Epic Link]], Table35[Other Project Epic Links], Table35[EA Epic Links], ALL_Issues2[[#This Row],[Epic Link]])</f>
        <v>Client Services Operations</v>
      </c>
    </row>
    <row r="64" spans="1:16" s="5" customFormat="1" ht="28.5" customHeight="1" x14ac:dyDescent="0.25">
      <c r="A64" s="12" t="s">
        <v>273</v>
      </c>
      <c r="B64" s="11" t="s">
        <v>55</v>
      </c>
      <c r="C64" s="13" t="s">
        <v>274</v>
      </c>
      <c r="D64" s="13" t="s">
        <v>275</v>
      </c>
      <c r="E64" s="11" t="s">
        <v>113</v>
      </c>
      <c r="F64" s="13" t="s">
        <v>58</v>
      </c>
      <c r="G64" s="13" t="s">
        <v>22</v>
      </c>
      <c r="H64" s="13" t="s">
        <v>276</v>
      </c>
      <c r="I64" s="13" t="s">
        <v>277</v>
      </c>
      <c r="J64" s="13" t="s">
        <v>101</v>
      </c>
      <c r="K64" s="13" t="s">
        <v>23</v>
      </c>
      <c r="L64" s="13" t="s">
        <v>136</v>
      </c>
      <c r="M64" s="13" t="s">
        <v>68</v>
      </c>
      <c r="N64" s="13" t="s">
        <v>25</v>
      </c>
      <c r="O64" s="4" t="str">
        <f>VLOOKUP(ALL_Issues2[[#This Row],[EA Epic Link]],Table466[],2,FALSE)</f>
        <v>Corporate Delivery Portfolio</v>
      </c>
      <c r="P64" s="4" t="str">
        <f>_xlfn.XLOOKUP(ALL_Issues2[[#This Row],[Epic Link]], Table35[Other Project Epic Links], Table35[EA Epic Links], ALL_Issues2[[#This Row],[Epic Link]])</f>
        <v>Product</v>
      </c>
    </row>
    <row r="65" spans="1:16" s="5" customFormat="1" ht="28.5" customHeight="1" x14ac:dyDescent="0.25">
      <c r="A65" s="12" t="s">
        <v>278</v>
      </c>
      <c r="B65" s="11" t="s">
        <v>46</v>
      </c>
      <c r="C65" s="13" t="s">
        <v>279</v>
      </c>
      <c r="D65" s="13" t="s">
        <v>280</v>
      </c>
      <c r="E65" s="11" t="s">
        <v>113</v>
      </c>
      <c r="F65" s="13" t="s">
        <v>58</v>
      </c>
      <c r="G65" s="13" t="s">
        <v>22</v>
      </c>
      <c r="H65" s="13" t="s">
        <v>281</v>
      </c>
      <c r="I65" s="13" t="s">
        <v>282</v>
      </c>
      <c r="J65" s="13" t="s">
        <v>51</v>
      </c>
      <c r="K65" s="13" t="s">
        <v>23</v>
      </c>
      <c r="L65" s="13"/>
      <c r="M65" s="13" t="s">
        <v>25</v>
      </c>
      <c r="N65" s="13" t="s">
        <v>25</v>
      </c>
      <c r="O65" s="4" t="str">
        <f>VLOOKUP(ALL_Issues2[[#This Row],[EA Epic Link]],Table466[],2,FALSE)</f>
        <v>Corporate Delivery Portfolio</v>
      </c>
      <c r="P65" s="4" t="str">
        <f>_xlfn.XLOOKUP(ALL_Issues2[[#This Row],[Epic Link]], Table35[Other Project Epic Links], Table35[EA Epic Links], ALL_Issues2[[#This Row],[Epic Link]])</f>
        <v>Human Capital Management Platform</v>
      </c>
    </row>
    <row r="66" spans="1:16" s="5" customFormat="1" ht="28.5" customHeight="1" x14ac:dyDescent="0.25">
      <c r="A66" s="12" t="s">
        <v>283</v>
      </c>
      <c r="B66" s="11" t="s">
        <v>46</v>
      </c>
      <c r="C66" s="13" t="s">
        <v>284</v>
      </c>
      <c r="D66" s="13" t="s">
        <v>285</v>
      </c>
      <c r="E66" s="11" t="s">
        <v>113</v>
      </c>
      <c r="F66" s="13" t="s">
        <v>58</v>
      </c>
      <c r="G66" s="13" t="s">
        <v>22</v>
      </c>
      <c r="H66" s="13" t="s">
        <v>281</v>
      </c>
      <c r="I66" s="13" t="s">
        <v>141</v>
      </c>
      <c r="J66" s="13" t="s">
        <v>51</v>
      </c>
      <c r="K66" s="13" t="s">
        <v>23</v>
      </c>
      <c r="L66" s="13"/>
      <c r="M66" s="13" t="s">
        <v>25</v>
      </c>
      <c r="N66" s="13" t="s">
        <v>25</v>
      </c>
      <c r="O66" s="4" t="str">
        <f>VLOOKUP(ALL_Issues2[[#This Row],[EA Epic Link]],Table466[],2,FALSE)</f>
        <v>Corporate Delivery Portfolio</v>
      </c>
      <c r="P66" s="4" t="str">
        <f>_xlfn.XLOOKUP(ALL_Issues2[[#This Row],[Epic Link]], Table35[Other Project Epic Links], Table35[EA Epic Links], ALL_Issues2[[#This Row],[Epic Link]])</f>
        <v>Corporate Finance</v>
      </c>
    </row>
    <row r="67" spans="1:16" s="5" customFormat="1" ht="28.5" customHeight="1" x14ac:dyDescent="0.25">
      <c r="A67" s="12" t="s">
        <v>286</v>
      </c>
      <c r="B67" s="11" t="s">
        <v>46</v>
      </c>
      <c r="C67" s="13" t="s">
        <v>287</v>
      </c>
      <c r="D67" s="13" t="s">
        <v>176</v>
      </c>
      <c r="E67" s="11" t="s">
        <v>20</v>
      </c>
      <c r="F67" s="13" t="s">
        <v>58</v>
      </c>
      <c r="G67" s="13" t="s">
        <v>22</v>
      </c>
      <c r="H67" s="13" t="s">
        <v>124</v>
      </c>
      <c r="I67" s="13" t="s">
        <v>64</v>
      </c>
      <c r="J67" s="13" t="s">
        <v>65</v>
      </c>
      <c r="K67" s="13" t="s">
        <v>73</v>
      </c>
      <c r="L67" s="13" t="s">
        <v>67</v>
      </c>
      <c r="M67" s="13" t="s">
        <v>25</v>
      </c>
      <c r="N67" s="13" t="s">
        <v>25</v>
      </c>
      <c r="O67" s="4" t="str">
        <f>VLOOKUP(ALL_Issues2[[#This Row],[EA Epic Link]],Table466[],2,FALSE)</f>
        <v>Infrastructure Delivery Portfolio</v>
      </c>
      <c r="P67" s="4" t="str">
        <f>_xlfn.XLOOKUP(ALL_Issues2[[#This Row],[Epic Link]], Table35[Other Project Epic Links], Table35[EA Epic Links], ALL_Issues2[[#This Row],[Epic Link]])</f>
        <v>End User Device Management</v>
      </c>
    </row>
    <row r="68" spans="1:16" s="5" customFormat="1" ht="28.5" customHeight="1" x14ac:dyDescent="0.25">
      <c r="A68" s="12" t="s">
        <v>288</v>
      </c>
      <c r="B68" s="11" t="s">
        <v>55</v>
      </c>
      <c r="C68" s="13" t="s">
        <v>289</v>
      </c>
      <c r="D68" s="13" t="s">
        <v>290</v>
      </c>
      <c r="E68" s="11" t="s">
        <v>118</v>
      </c>
      <c r="F68" s="13" t="s">
        <v>58</v>
      </c>
      <c r="G68" s="13" t="s">
        <v>22</v>
      </c>
      <c r="H68" s="13" t="s">
        <v>130</v>
      </c>
      <c r="I68" s="13" t="s">
        <v>64</v>
      </c>
      <c r="J68" s="13" t="s">
        <v>65</v>
      </c>
      <c r="K68" s="13" t="s">
        <v>73</v>
      </c>
      <c r="L68" s="13" t="s">
        <v>67</v>
      </c>
      <c r="M68" s="13" t="s">
        <v>25</v>
      </c>
      <c r="N68" s="13" t="s">
        <v>25</v>
      </c>
      <c r="O68" s="4" t="str">
        <f>VLOOKUP(ALL_Issues2[[#This Row],[EA Epic Link]],Table466[],2,FALSE)</f>
        <v>Infrastructure Delivery Portfolio</v>
      </c>
      <c r="P68" s="4" t="str">
        <f>_xlfn.XLOOKUP(ALL_Issues2[[#This Row],[Epic Link]], Table35[Other Project Epic Links], Table35[EA Epic Links], ALL_Issues2[[#This Row],[Epic Link]])</f>
        <v>End User Device Management</v>
      </c>
    </row>
    <row r="69" spans="1:16" s="5" customFormat="1" ht="28.5" customHeight="1" x14ac:dyDescent="0.25">
      <c r="A69" s="12" t="s">
        <v>291</v>
      </c>
      <c r="B69" s="11" t="s">
        <v>55</v>
      </c>
      <c r="C69" s="13" t="s">
        <v>292</v>
      </c>
      <c r="D69" s="13" t="s">
        <v>293</v>
      </c>
      <c r="E69" s="11" t="s">
        <v>118</v>
      </c>
      <c r="F69" s="13" t="s">
        <v>58</v>
      </c>
      <c r="G69" s="13" t="s">
        <v>22</v>
      </c>
      <c r="H69" s="13" t="s">
        <v>294</v>
      </c>
      <c r="I69" s="13" t="s">
        <v>64</v>
      </c>
      <c r="J69" s="13" t="s">
        <v>65</v>
      </c>
      <c r="K69" s="13" t="s">
        <v>130</v>
      </c>
      <c r="L69" s="13" t="s">
        <v>154</v>
      </c>
      <c r="M69" s="13" t="s">
        <v>25</v>
      </c>
      <c r="N69" s="13" t="s">
        <v>25</v>
      </c>
      <c r="O69" s="4" t="str">
        <f>VLOOKUP(ALL_Issues2[[#This Row],[EA Epic Link]],Table466[],2,FALSE)</f>
        <v>Infrastructure Delivery Portfolio</v>
      </c>
      <c r="P69" s="4" t="str">
        <f>_xlfn.XLOOKUP(ALL_Issues2[[#This Row],[Epic Link]], Table35[Other Project Epic Links], Table35[EA Epic Links], ALL_Issues2[[#This Row],[Epic Link]])</f>
        <v>End User Device Management</v>
      </c>
    </row>
    <row r="70" spans="1:16" s="5" customFormat="1" ht="28.5" customHeight="1" x14ac:dyDescent="0.25">
      <c r="A70" s="12" t="s">
        <v>295</v>
      </c>
      <c r="B70" s="11" t="s">
        <v>17</v>
      </c>
      <c r="C70" s="13" t="s">
        <v>296</v>
      </c>
      <c r="D70" s="13" t="s">
        <v>208</v>
      </c>
      <c r="E70" s="11" t="s">
        <v>113</v>
      </c>
      <c r="F70" s="13" t="s">
        <v>58</v>
      </c>
      <c r="G70" s="13" t="s">
        <v>22</v>
      </c>
      <c r="H70" s="13" t="s">
        <v>63</v>
      </c>
      <c r="I70" s="13" t="s">
        <v>64</v>
      </c>
      <c r="J70" s="13" t="s">
        <v>65</v>
      </c>
      <c r="K70" s="13" t="s">
        <v>66</v>
      </c>
      <c r="L70" s="13" t="s">
        <v>67</v>
      </c>
      <c r="M70" s="13" t="s">
        <v>68</v>
      </c>
      <c r="N70" s="13" t="s">
        <v>25</v>
      </c>
      <c r="O70" s="4" t="str">
        <f>VLOOKUP(ALL_Issues2[[#This Row],[EA Epic Link]],Table466[],2,FALSE)</f>
        <v>Infrastructure Delivery Portfolio</v>
      </c>
      <c r="P70" s="4" t="str">
        <f>_xlfn.XLOOKUP(ALL_Issues2[[#This Row],[Epic Link]], Table35[Other Project Epic Links], Table35[EA Epic Links], ALL_Issues2[[#This Row],[Epic Link]])</f>
        <v>End User Device Management</v>
      </c>
    </row>
    <row r="71" spans="1:16" s="5" customFormat="1" ht="28.5" customHeight="1" x14ac:dyDescent="0.25">
      <c r="A71" s="12" t="s">
        <v>297</v>
      </c>
      <c r="B71" s="11" t="s">
        <v>55</v>
      </c>
      <c r="C71" s="13" t="s">
        <v>298</v>
      </c>
      <c r="D71" s="13" t="s">
        <v>299</v>
      </c>
      <c r="E71" s="11" t="s">
        <v>20</v>
      </c>
      <c r="F71" s="13" t="s">
        <v>21</v>
      </c>
      <c r="G71" s="13" t="s">
        <v>22</v>
      </c>
      <c r="H71" s="13" t="s">
        <v>300</v>
      </c>
      <c r="I71" s="13" t="s">
        <v>301</v>
      </c>
      <c r="J71" s="13" t="s">
        <v>160</v>
      </c>
      <c r="K71" s="13" t="s">
        <v>102</v>
      </c>
      <c r="L71" s="13" t="s">
        <v>302</v>
      </c>
      <c r="M71" s="13" t="s">
        <v>25</v>
      </c>
      <c r="N71" s="13" t="s">
        <v>25</v>
      </c>
      <c r="O71" s="4" t="str">
        <f>VLOOKUP(ALL_Issues2[[#This Row],[EA Epic Link]],Table466[],2,FALSE)</f>
        <v>Digital Delivery Portfolio</v>
      </c>
      <c r="P71" s="4" t="str">
        <f>_xlfn.XLOOKUP(ALL_Issues2[[#This Row],[Epic Link]], Table35[Other Project Epic Links], Table35[EA Epic Links], ALL_Issues2[[#This Row],[Epic Link]])</f>
        <v>IGM Core Digital Platform</v>
      </c>
    </row>
    <row r="72" spans="1:16" s="5" customFormat="1" ht="28.5" customHeight="1" x14ac:dyDescent="0.25">
      <c r="A72" s="12" t="s">
        <v>303</v>
      </c>
      <c r="B72" s="11" t="s">
        <v>55</v>
      </c>
      <c r="C72" s="13" t="s">
        <v>304</v>
      </c>
      <c r="D72" s="13" t="s">
        <v>305</v>
      </c>
      <c r="E72" s="11" t="s">
        <v>20</v>
      </c>
      <c r="F72" s="13" t="s">
        <v>58</v>
      </c>
      <c r="G72" s="13" t="s">
        <v>22</v>
      </c>
      <c r="H72" s="13" t="s">
        <v>172</v>
      </c>
      <c r="I72" s="13" t="s">
        <v>306</v>
      </c>
      <c r="J72" s="13" t="s">
        <v>101</v>
      </c>
      <c r="K72" s="13" t="s">
        <v>23</v>
      </c>
      <c r="L72" s="13"/>
      <c r="M72" s="13" t="s">
        <v>25</v>
      </c>
      <c r="N72" s="13" t="s">
        <v>25</v>
      </c>
      <c r="O72" s="4" t="str">
        <f>VLOOKUP(ALL_Issues2[[#This Row],[EA Epic Link]],Table466[],2,FALSE)</f>
        <v>IT Governance</v>
      </c>
      <c r="P72" s="4" t="str">
        <f>_xlfn.XLOOKUP(ALL_Issues2[[#This Row],[Epic Link]], Table35[Other Project Epic Links], Table35[EA Epic Links], ALL_Issues2[[#This Row],[Epic Link]])</f>
        <v>Projects and Initiatives spanning Portfolios</v>
      </c>
    </row>
    <row r="73" spans="1:16" s="5" customFormat="1" ht="28.5" customHeight="1" x14ac:dyDescent="0.25">
      <c r="A73" s="12" t="s">
        <v>307</v>
      </c>
      <c r="B73" s="11" t="s">
        <v>55</v>
      </c>
      <c r="C73" s="13" t="s">
        <v>308</v>
      </c>
      <c r="D73" s="13" t="s">
        <v>309</v>
      </c>
      <c r="E73" s="11" t="s">
        <v>113</v>
      </c>
      <c r="F73" s="13" t="s">
        <v>21</v>
      </c>
      <c r="G73" s="13" t="s">
        <v>22</v>
      </c>
      <c r="H73" s="13" t="s">
        <v>223</v>
      </c>
      <c r="I73" s="13" t="s">
        <v>224</v>
      </c>
      <c r="J73" s="13" t="s">
        <v>101</v>
      </c>
      <c r="K73" s="13" t="s">
        <v>225</v>
      </c>
      <c r="L73" s="13" t="s">
        <v>226</v>
      </c>
      <c r="M73" s="13" t="s">
        <v>25</v>
      </c>
      <c r="N73" s="13" t="s">
        <v>25</v>
      </c>
      <c r="O73" s="4" t="str">
        <f>VLOOKUP(ALL_Issues2[[#This Row],[EA Epic Link]],Table466[],2,FALSE)</f>
        <v>Data and Integration Delivery Portfolio</v>
      </c>
      <c r="P73" s="4" t="str">
        <f>_xlfn.XLOOKUP(ALL_Issues2[[#This Row],[Epic Link]], Table35[Other Project Epic Links], Table35[EA Epic Links], ALL_Issues2[[#This Row],[Epic Link]])</f>
        <v>Core API and Integration Platform</v>
      </c>
    </row>
    <row r="74" spans="1:16" s="5" customFormat="1" ht="28.5" customHeight="1" x14ac:dyDescent="0.25">
      <c r="A74" s="12" t="s">
        <v>310</v>
      </c>
      <c r="B74" s="11" t="s">
        <v>46</v>
      </c>
      <c r="C74" s="13" t="s">
        <v>311</v>
      </c>
      <c r="D74" s="13" t="s">
        <v>312</v>
      </c>
      <c r="E74" s="11" t="s">
        <v>118</v>
      </c>
      <c r="F74" s="13" t="s">
        <v>21</v>
      </c>
      <c r="G74" s="13" t="s">
        <v>22</v>
      </c>
      <c r="H74" s="13" t="s">
        <v>313</v>
      </c>
      <c r="I74" s="13" t="s">
        <v>100</v>
      </c>
      <c r="J74" s="13" t="s">
        <v>101</v>
      </c>
      <c r="K74" s="13" t="s">
        <v>102</v>
      </c>
      <c r="L74" s="13" t="s">
        <v>314</v>
      </c>
      <c r="M74" s="13" t="s">
        <v>25</v>
      </c>
      <c r="N74" s="13" t="s">
        <v>25</v>
      </c>
      <c r="O74" s="4" t="str">
        <f>VLOOKUP(ALL_Issues2[[#This Row],[EA Epic Link]],Table466[],2,FALSE)</f>
        <v>Digital Delivery Portfolio</v>
      </c>
      <c r="P74" s="4" t="str">
        <f>_xlfn.XLOOKUP(ALL_Issues2[[#This Row],[Epic Link]], Table35[Other Project Epic Links], Table35[EA Epic Links], ALL_Issues2[[#This Row],[Epic Link]])</f>
        <v>MI Distribution and Marketing</v>
      </c>
    </row>
    <row r="75" spans="1:16" s="5" customFormat="1" ht="28.5" customHeight="1" x14ac:dyDescent="0.25">
      <c r="A75" s="12" t="s">
        <v>315</v>
      </c>
      <c r="B75" s="11" t="s">
        <v>46</v>
      </c>
      <c r="C75" s="13" t="s">
        <v>905</v>
      </c>
      <c r="D75" s="13" t="s">
        <v>316</v>
      </c>
      <c r="E75" s="11" t="s">
        <v>48</v>
      </c>
      <c r="F75" s="13" t="s">
        <v>21</v>
      </c>
      <c r="G75" s="13" t="s">
        <v>22</v>
      </c>
      <c r="H75" s="13" t="s">
        <v>313</v>
      </c>
      <c r="I75" s="13" t="s">
        <v>100</v>
      </c>
      <c r="J75" s="13" t="s">
        <v>101</v>
      </c>
      <c r="K75" s="13" t="s">
        <v>102</v>
      </c>
      <c r="L75" s="13" t="s">
        <v>103</v>
      </c>
      <c r="M75" s="13" t="s">
        <v>25</v>
      </c>
      <c r="N75" s="13" t="s">
        <v>25</v>
      </c>
      <c r="O75" s="4" t="str">
        <f>VLOOKUP(ALL_Issues2[[#This Row],[EA Epic Link]],Table466[],2,FALSE)</f>
        <v>Digital Delivery Portfolio</v>
      </c>
      <c r="P75" s="4" t="str">
        <f>_xlfn.XLOOKUP(ALL_Issues2[[#This Row],[Epic Link]], Table35[Other Project Epic Links], Table35[EA Epic Links], ALL_Issues2[[#This Row],[Epic Link]])</f>
        <v>MI Distribution and Marketing</v>
      </c>
    </row>
    <row r="76" spans="1:16" s="5" customFormat="1" ht="28.5" customHeight="1" x14ac:dyDescent="0.25">
      <c r="A76" s="12" t="s">
        <v>317</v>
      </c>
      <c r="B76" s="11" t="s">
        <v>55</v>
      </c>
      <c r="C76" s="13" t="s">
        <v>318</v>
      </c>
      <c r="D76" s="13" t="s">
        <v>319</v>
      </c>
      <c r="E76" s="11" t="s">
        <v>48</v>
      </c>
      <c r="F76" s="13" t="s">
        <v>21</v>
      </c>
      <c r="G76" s="13" t="s">
        <v>22</v>
      </c>
      <c r="H76" s="13" t="s">
        <v>49</v>
      </c>
      <c r="I76" s="13" t="s">
        <v>50</v>
      </c>
      <c r="J76" s="13" t="s">
        <v>101</v>
      </c>
      <c r="K76" s="13" t="s">
        <v>52</v>
      </c>
      <c r="L76" s="13"/>
      <c r="M76" s="13" t="s">
        <v>25</v>
      </c>
      <c r="N76" s="13" t="s">
        <v>25</v>
      </c>
      <c r="O76" s="4" t="str">
        <f>VLOOKUP(ALL_Issues2[[#This Row],[EA Epic Link]],Table466[],2,FALSE)</f>
        <v>Corporate Delivery Portfolio</v>
      </c>
      <c r="P76" s="4" t="str">
        <f>_xlfn.XLOOKUP(ALL_Issues2[[#This Row],[Epic Link]], Table35[Other Project Epic Links], Table35[EA Epic Links], ALL_Issues2[[#This Row],[Epic Link]])</f>
        <v>Client Services Operations</v>
      </c>
    </row>
    <row r="77" spans="1:16" s="5" customFormat="1" ht="28.5" customHeight="1" x14ac:dyDescent="0.25">
      <c r="A77" s="12" t="s">
        <v>320</v>
      </c>
      <c r="B77" s="11" t="s">
        <v>17</v>
      </c>
      <c r="C77" s="13" t="s">
        <v>321</v>
      </c>
      <c r="D77" s="13" t="s">
        <v>322</v>
      </c>
      <c r="E77" s="11" t="s">
        <v>48</v>
      </c>
      <c r="F77" s="13" t="s">
        <v>21</v>
      </c>
      <c r="G77" s="13" t="s">
        <v>22</v>
      </c>
      <c r="H77" s="13" t="s">
        <v>323</v>
      </c>
      <c r="I77" s="13" t="s">
        <v>324</v>
      </c>
      <c r="J77" s="13" t="s">
        <v>108</v>
      </c>
      <c r="K77" s="13" t="s">
        <v>225</v>
      </c>
      <c r="L77" s="13" t="s">
        <v>125</v>
      </c>
      <c r="M77" s="13" t="s">
        <v>25</v>
      </c>
      <c r="N77" s="13" t="s">
        <v>25</v>
      </c>
      <c r="O77" s="4" t="str">
        <f>VLOOKUP(ALL_Issues2[[#This Row],[EA Epic Link]],Table466[],2,FALSE)</f>
        <v>Infrastructure Delivery Portfolio</v>
      </c>
      <c r="P77" s="4" t="str">
        <f>_xlfn.XLOOKUP(ALL_Issues2[[#This Row],[Epic Link]], Table35[Other Project Epic Links], Table35[EA Epic Links], ALL_Issues2[[#This Row],[Epic Link]])</f>
        <v>Observability Platform</v>
      </c>
    </row>
    <row r="78" spans="1:16" s="5" customFormat="1" ht="28.5" customHeight="1" x14ac:dyDescent="0.25">
      <c r="A78" s="12" t="s">
        <v>325</v>
      </c>
      <c r="B78" s="11" t="s">
        <v>55</v>
      </c>
      <c r="C78" s="13" t="s">
        <v>326</v>
      </c>
      <c r="D78" s="13" t="s">
        <v>327</v>
      </c>
      <c r="E78" s="11" t="s">
        <v>48</v>
      </c>
      <c r="F78" s="13" t="s">
        <v>58</v>
      </c>
      <c r="G78" s="13" t="s">
        <v>22</v>
      </c>
      <c r="H78" s="13" t="s">
        <v>201</v>
      </c>
      <c r="I78" s="13" t="s">
        <v>202</v>
      </c>
      <c r="J78" s="13" t="s">
        <v>160</v>
      </c>
      <c r="K78" s="13" t="s">
        <v>124</v>
      </c>
      <c r="L78" s="13" t="s">
        <v>161</v>
      </c>
      <c r="M78" s="13" t="s">
        <v>68</v>
      </c>
      <c r="N78" s="13" t="s">
        <v>68</v>
      </c>
      <c r="O78" s="4" t="str">
        <f>VLOOKUP(ALL_Issues2[[#This Row],[EA Epic Link]],Table466[],2,FALSE)</f>
        <v>Security Delivery Portfolio</v>
      </c>
      <c r="P78" s="4" t="str">
        <f>_xlfn.XLOOKUP(ALL_Issues2[[#This Row],[Epic Link]], Table35[Other Project Epic Links], Table35[EA Epic Links], ALL_Issues2[[#This Row],[Epic Link]])</f>
        <v>Identity and Access</v>
      </c>
    </row>
    <row r="79" spans="1:16" s="5" customFormat="1" ht="28.5" customHeight="1" x14ac:dyDescent="0.25">
      <c r="A79" s="12" t="s">
        <v>328</v>
      </c>
      <c r="B79" s="11" t="s">
        <v>46</v>
      </c>
      <c r="C79" s="13" t="s">
        <v>329</v>
      </c>
      <c r="D79" s="13" t="s">
        <v>330</v>
      </c>
      <c r="E79" s="11" t="s">
        <v>48</v>
      </c>
      <c r="F79" s="13" t="s">
        <v>58</v>
      </c>
      <c r="G79" s="13" t="s">
        <v>22</v>
      </c>
      <c r="H79" s="13" t="s">
        <v>281</v>
      </c>
      <c r="I79" s="13" t="s">
        <v>282</v>
      </c>
      <c r="J79" s="13" t="s">
        <v>51</v>
      </c>
      <c r="K79" s="13" t="s">
        <v>23</v>
      </c>
      <c r="L79" s="13"/>
      <c r="M79" s="13" t="s">
        <v>25</v>
      </c>
      <c r="N79" s="13" t="s">
        <v>25</v>
      </c>
      <c r="O79" s="4" t="str">
        <f>VLOOKUP(ALL_Issues2[[#This Row],[EA Epic Link]],Table466[],2,FALSE)</f>
        <v>Corporate Delivery Portfolio</v>
      </c>
      <c r="P79" s="4" t="str">
        <f>_xlfn.XLOOKUP(ALL_Issues2[[#This Row],[Epic Link]], Table35[Other Project Epic Links], Table35[EA Epic Links], ALL_Issues2[[#This Row],[Epic Link]])</f>
        <v>Human Capital Management Platform</v>
      </c>
    </row>
    <row r="80" spans="1:16" s="5" customFormat="1" ht="28.5" customHeight="1" x14ac:dyDescent="0.25">
      <c r="A80" s="12" t="s">
        <v>331</v>
      </c>
      <c r="B80" s="11" t="s">
        <v>17</v>
      </c>
      <c r="C80" s="13" t="s">
        <v>332</v>
      </c>
      <c r="D80" s="13" t="s">
        <v>333</v>
      </c>
      <c r="E80" s="11" t="s">
        <v>20</v>
      </c>
      <c r="F80" s="13" t="s">
        <v>58</v>
      </c>
      <c r="G80" s="13" t="s">
        <v>22</v>
      </c>
      <c r="H80" s="13" t="s">
        <v>134</v>
      </c>
      <c r="I80" s="13" t="s">
        <v>306</v>
      </c>
      <c r="J80" s="13" t="s">
        <v>51</v>
      </c>
      <c r="K80" s="13" t="s">
        <v>102</v>
      </c>
      <c r="L80" s="13"/>
      <c r="M80" s="13" t="s">
        <v>25</v>
      </c>
      <c r="N80" s="13" t="s">
        <v>25</v>
      </c>
      <c r="O80" s="4" t="str">
        <f>VLOOKUP(ALL_Issues2[[#This Row],[EA Epic Link]],Table466[],2,FALSE)</f>
        <v>IT Governance</v>
      </c>
      <c r="P80" s="4" t="str">
        <f>_xlfn.XLOOKUP(ALL_Issues2[[#This Row],[Epic Link]], Table35[Other Project Epic Links], Table35[EA Epic Links], ALL_Issues2[[#This Row],[Epic Link]])</f>
        <v>Projects and Initiatives spanning Portfolios</v>
      </c>
    </row>
    <row r="81" spans="1:16" s="5" customFormat="1" ht="28.5" customHeight="1" x14ac:dyDescent="0.25">
      <c r="A81" s="12" t="s">
        <v>334</v>
      </c>
      <c r="B81" s="11" t="s">
        <v>46</v>
      </c>
      <c r="C81" s="13" t="s">
        <v>335</v>
      </c>
      <c r="D81" s="13" t="s">
        <v>336</v>
      </c>
      <c r="E81" s="11" t="s">
        <v>48</v>
      </c>
      <c r="F81" s="13" t="s">
        <v>21</v>
      </c>
      <c r="G81" s="13" t="s">
        <v>22</v>
      </c>
      <c r="H81" s="13" t="s">
        <v>49</v>
      </c>
      <c r="I81" s="13" t="s">
        <v>50</v>
      </c>
      <c r="J81" s="13" t="s">
        <v>51</v>
      </c>
      <c r="K81" s="13" t="s">
        <v>49</v>
      </c>
      <c r="L81" s="13"/>
      <c r="M81" s="13" t="s">
        <v>25</v>
      </c>
      <c r="N81" s="13" t="s">
        <v>25</v>
      </c>
      <c r="O81" s="4" t="str">
        <f>VLOOKUP(ALL_Issues2[[#This Row],[EA Epic Link]],Table466[],2,FALSE)</f>
        <v>Corporate Delivery Portfolio</v>
      </c>
      <c r="P81" s="4" t="str">
        <f>_xlfn.XLOOKUP(ALL_Issues2[[#This Row],[Epic Link]], Table35[Other Project Epic Links], Table35[EA Epic Links], ALL_Issues2[[#This Row],[Epic Link]])</f>
        <v>Client Services Operations</v>
      </c>
    </row>
    <row r="82" spans="1:16" s="5" customFormat="1" ht="28.5" customHeight="1" x14ac:dyDescent="0.25">
      <c r="A82" s="12" t="s">
        <v>337</v>
      </c>
      <c r="B82" s="11" t="s">
        <v>46</v>
      </c>
      <c r="C82" s="13" t="s">
        <v>338</v>
      </c>
      <c r="D82" s="13" t="s">
        <v>339</v>
      </c>
      <c r="E82" s="11" t="s">
        <v>113</v>
      </c>
      <c r="F82" s="13" t="s">
        <v>92</v>
      </c>
      <c r="G82" s="13" t="s">
        <v>246</v>
      </c>
      <c r="H82" s="13" t="s">
        <v>66</v>
      </c>
      <c r="I82" s="13" t="s">
        <v>194</v>
      </c>
      <c r="J82" s="13" t="s">
        <v>51</v>
      </c>
      <c r="K82" s="13" t="s">
        <v>73</v>
      </c>
      <c r="L82" s="13" t="s">
        <v>73</v>
      </c>
      <c r="M82" s="13" t="s">
        <v>25</v>
      </c>
      <c r="N82" s="13" t="s">
        <v>25</v>
      </c>
      <c r="O82" s="4" t="str">
        <f>VLOOKUP(ALL_Issues2[[#This Row],[EA Epic Link]],Table466[],2,FALSE)</f>
        <v>IT Governance</v>
      </c>
      <c r="P82" s="4" t="str">
        <f>_xlfn.XLOOKUP(ALL_Issues2[[#This Row],[Epic Link]], Table35[Other Project Epic Links], Table35[EA Epic Links], ALL_Issues2[[#This Row],[Epic Link]])</f>
        <v>Architecture CoP</v>
      </c>
    </row>
    <row r="83" spans="1:16" s="5" customFormat="1" ht="28.5" customHeight="1" x14ac:dyDescent="0.25">
      <c r="A83" s="12" t="s">
        <v>340</v>
      </c>
      <c r="B83" s="11" t="s">
        <v>46</v>
      </c>
      <c r="C83" s="13" t="s">
        <v>341</v>
      </c>
      <c r="D83" s="13" t="s">
        <v>342</v>
      </c>
      <c r="E83" s="11" t="s">
        <v>48</v>
      </c>
      <c r="F83" s="13" t="s">
        <v>21</v>
      </c>
      <c r="G83" s="13" t="s">
        <v>22</v>
      </c>
      <c r="H83" s="13" t="s">
        <v>281</v>
      </c>
      <c r="I83" s="13" t="s">
        <v>343</v>
      </c>
      <c r="J83" s="13" t="s">
        <v>51</v>
      </c>
      <c r="K83" s="13" t="s">
        <v>23</v>
      </c>
      <c r="L83" s="13"/>
      <c r="M83" s="13" t="s">
        <v>25</v>
      </c>
      <c r="N83" s="13" t="s">
        <v>25</v>
      </c>
      <c r="O83" s="4" t="str">
        <f>VLOOKUP(ALL_Issues2[[#This Row],[EA Epic Link]],Table466[],2,FALSE)</f>
        <v>IT Governance</v>
      </c>
      <c r="P83" s="4" t="str">
        <f>_xlfn.XLOOKUP(ALL_Issues2[[#This Row],[Epic Link]], Table35[Other Project Epic Links], Table35[EA Epic Links], ALL_Issues2[[#This Row],[Epic Link]])</f>
        <v>New Applications not Categorized</v>
      </c>
    </row>
    <row r="84" spans="1:16" s="5" customFormat="1" ht="28.5" customHeight="1" x14ac:dyDescent="0.25">
      <c r="A84" s="12" t="s">
        <v>344</v>
      </c>
      <c r="B84" s="11" t="s">
        <v>17</v>
      </c>
      <c r="C84" s="13" t="s">
        <v>345</v>
      </c>
      <c r="D84" s="13" t="s">
        <v>346</v>
      </c>
      <c r="E84" s="11" t="s">
        <v>20</v>
      </c>
      <c r="F84" s="13" t="s">
        <v>58</v>
      </c>
      <c r="G84" s="13" t="s">
        <v>22</v>
      </c>
      <c r="H84" s="13" t="s">
        <v>347</v>
      </c>
      <c r="I84" s="13" t="s">
        <v>306</v>
      </c>
      <c r="J84" s="13" t="s">
        <v>51</v>
      </c>
      <c r="K84" s="13" t="s">
        <v>102</v>
      </c>
      <c r="L84" s="13"/>
      <c r="M84" s="13" t="s">
        <v>25</v>
      </c>
      <c r="N84" s="13" t="s">
        <v>25</v>
      </c>
      <c r="O84" s="4" t="str">
        <f>VLOOKUP(ALL_Issues2[[#This Row],[EA Epic Link]],Table466[],2,FALSE)</f>
        <v>IT Governance</v>
      </c>
      <c r="P84" s="4" t="str">
        <f>_xlfn.XLOOKUP(ALL_Issues2[[#This Row],[Epic Link]], Table35[Other Project Epic Links], Table35[EA Epic Links], ALL_Issues2[[#This Row],[Epic Link]])</f>
        <v>Projects and Initiatives spanning Portfolios</v>
      </c>
    </row>
    <row r="85" spans="1:16" s="5" customFormat="1" ht="28.5" customHeight="1" x14ac:dyDescent="0.25">
      <c r="A85" s="12" t="s">
        <v>348</v>
      </c>
      <c r="B85" s="11" t="s">
        <v>55</v>
      </c>
      <c r="C85" s="13" t="s">
        <v>349</v>
      </c>
      <c r="D85" s="13" t="s">
        <v>350</v>
      </c>
      <c r="E85" s="11" t="s">
        <v>251</v>
      </c>
      <c r="F85" s="13" t="s">
        <v>21</v>
      </c>
      <c r="G85" s="13" t="s">
        <v>22</v>
      </c>
      <c r="H85" s="13" t="s">
        <v>49</v>
      </c>
      <c r="I85" s="13" t="s">
        <v>351</v>
      </c>
      <c r="J85" s="13" t="s">
        <v>51</v>
      </c>
      <c r="K85" s="13" t="s">
        <v>52</v>
      </c>
      <c r="L85" s="13"/>
      <c r="M85" s="13" t="s">
        <v>25</v>
      </c>
      <c r="N85" s="13" t="s">
        <v>25</v>
      </c>
      <c r="O85" s="4" t="e">
        <f>VLOOKUP(ALL_Issues2[[#This Row],[EA Epic Link]],Table466[],2,FALSE)</f>
        <v>#N/A</v>
      </c>
      <c r="P85" s="4" t="str">
        <f>_xlfn.XLOOKUP(ALL_Issues2[[#This Row],[Epic Link]], Table35[Other Project Epic Links], Table35[EA Epic Links], ALL_Issues2[[#This Row],[Epic Link]])</f>
        <v>Contact Centre 2022</v>
      </c>
    </row>
    <row r="86" spans="1:16" s="5" customFormat="1" ht="28.5" customHeight="1" x14ac:dyDescent="0.25">
      <c r="A86" s="12" t="s">
        <v>352</v>
      </c>
      <c r="B86" s="11" t="s">
        <v>55</v>
      </c>
      <c r="C86" s="13" t="s">
        <v>353</v>
      </c>
      <c r="D86" s="13" t="s">
        <v>354</v>
      </c>
      <c r="E86" s="11" t="s">
        <v>251</v>
      </c>
      <c r="F86" s="13" t="s">
        <v>58</v>
      </c>
      <c r="G86" s="13" t="s">
        <v>22</v>
      </c>
      <c r="H86" s="13" t="s">
        <v>355</v>
      </c>
      <c r="I86" s="13" t="s">
        <v>282</v>
      </c>
      <c r="J86" s="13" t="s">
        <v>51</v>
      </c>
      <c r="K86" s="13" t="s">
        <v>23</v>
      </c>
      <c r="L86" s="13"/>
      <c r="M86" s="13" t="s">
        <v>25</v>
      </c>
      <c r="N86" s="13" t="s">
        <v>25</v>
      </c>
      <c r="O86" s="4" t="str">
        <f>VLOOKUP(ALL_Issues2[[#This Row],[EA Epic Link]],Table466[],2,FALSE)</f>
        <v>Corporate Delivery Portfolio</v>
      </c>
      <c r="P86" s="4" t="str">
        <f>_xlfn.XLOOKUP(ALL_Issues2[[#This Row],[Epic Link]], Table35[Other Project Epic Links], Table35[EA Epic Links], ALL_Issues2[[#This Row],[Epic Link]])</f>
        <v>Human Capital Management Platform</v>
      </c>
    </row>
    <row r="87" spans="1:16" s="5" customFormat="1" ht="28.5" customHeight="1" x14ac:dyDescent="0.25">
      <c r="A87" s="12" t="s">
        <v>356</v>
      </c>
      <c r="B87" s="11" t="s">
        <v>17</v>
      </c>
      <c r="C87" s="13" t="s">
        <v>357</v>
      </c>
      <c r="D87" s="13" t="s">
        <v>357</v>
      </c>
      <c r="E87" s="11" t="s">
        <v>20</v>
      </c>
      <c r="F87" s="13" t="s">
        <v>58</v>
      </c>
      <c r="G87" s="13" t="s">
        <v>22</v>
      </c>
      <c r="H87" s="13" t="s">
        <v>140</v>
      </c>
      <c r="I87" s="13" t="s">
        <v>277</v>
      </c>
      <c r="J87" s="13" t="s">
        <v>51</v>
      </c>
      <c r="K87" s="13" t="s">
        <v>23</v>
      </c>
      <c r="L87" s="13"/>
      <c r="M87" s="13" t="s">
        <v>25</v>
      </c>
      <c r="N87" s="13" t="s">
        <v>25</v>
      </c>
      <c r="O87" s="4" t="str">
        <f>VLOOKUP(ALL_Issues2[[#This Row],[EA Epic Link]],Table466[],2,FALSE)</f>
        <v>Corporate Delivery Portfolio</v>
      </c>
      <c r="P87" s="4" t="str">
        <f>_xlfn.XLOOKUP(ALL_Issues2[[#This Row],[Epic Link]], Table35[Other Project Epic Links], Table35[EA Epic Links], ALL_Issues2[[#This Row],[Epic Link]])</f>
        <v>Product</v>
      </c>
    </row>
    <row r="88" spans="1:16" s="5" customFormat="1" ht="28.5" customHeight="1" x14ac:dyDescent="0.25">
      <c r="A88" s="12" t="s">
        <v>358</v>
      </c>
      <c r="B88" s="11" t="s">
        <v>46</v>
      </c>
      <c r="C88" s="13" t="s">
        <v>359</v>
      </c>
      <c r="D88" s="13" t="s">
        <v>360</v>
      </c>
      <c r="E88" s="11" t="s">
        <v>48</v>
      </c>
      <c r="F88" s="13" t="s">
        <v>21</v>
      </c>
      <c r="G88" s="13" t="s">
        <v>22</v>
      </c>
      <c r="H88" s="13" t="s">
        <v>313</v>
      </c>
      <c r="I88" s="13" t="s">
        <v>247</v>
      </c>
      <c r="J88" s="13" t="s">
        <v>51</v>
      </c>
      <c r="K88" s="13" t="s">
        <v>102</v>
      </c>
      <c r="L88" s="13" t="s">
        <v>361</v>
      </c>
      <c r="M88" s="13" t="s">
        <v>25</v>
      </c>
      <c r="N88" s="13" t="s">
        <v>25</v>
      </c>
      <c r="O88" s="4" t="str">
        <f>VLOOKUP(ALL_Issues2[[#This Row],[EA Epic Link]],Table466[],2,FALSE)</f>
        <v>Infrastructure Delivery Portfolio</v>
      </c>
      <c r="P88" s="4" t="str">
        <f>_xlfn.XLOOKUP(ALL_Issues2[[#This Row],[Epic Link]], Table35[Other Project Epic Links], Table35[EA Epic Links], ALL_Issues2[[#This Row],[Epic Link]])</f>
        <v>End User Productivity</v>
      </c>
    </row>
    <row r="89" spans="1:16" s="5" customFormat="1" ht="28.5" customHeight="1" x14ac:dyDescent="0.25">
      <c r="A89" s="12" t="s">
        <v>362</v>
      </c>
      <c r="B89" s="11" t="s">
        <v>17</v>
      </c>
      <c r="C89" s="13" t="s">
        <v>363</v>
      </c>
      <c r="D89" s="13" t="s">
        <v>364</v>
      </c>
      <c r="E89" s="11" t="s">
        <v>113</v>
      </c>
      <c r="F89" s="13" t="s">
        <v>58</v>
      </c>
      <c r="G89" s="13" t="s">
        <v>22</v>
      </c>
      <c r="H89" s="13" t="s">
        <v>365</v>
      </c>
      <c r="I89" s="13" t="s">
        <v>277</v>
      </c>
      <c r="J89" s="13" t="s">
        <v>51</v>
      </c>
      <c r="K89" s="13" t="s">
        <v>23</v>
      </c>
      <c r="L89" s="13" t="s">
        <v>302</v>
      </c>
      <c r="M89" s="13" t="s">
        <v>25</v>
      </c>
      <c r="N89" s="13" t="s">
        <v>68</v>
      </c>
      <c r="O89" s="4" t="str">
        <f>VLOOKUP(ALL_Issues2[[#This Row],[EA Epic Link]],Table466[],2,FALSE)</f>
        <v>Corporate Delivery Portfolio</v>
      </c>
      <c r="P89" s="4" t="str">
        <f>_xlfn.XLOOKUP(ALL_Issues2[[#This Row],[Epic Link]], Table35[Other Project Epic Links], Table35[EA Epic Links], ALL_Issues2[[#This Row],[Epic Link]])</f>
        <v>Product</v>
      </c>
    </row>
    <row r="90" spans="1:16" s="5" customFormat="1" ht="28.5" customHeight="1" x14ac:dyDescent="0.25">
      <c r="A90" s="12" t="s">
        <v>366</v>
      </c>
      <c r="B90" s="11" t="s">
        <v>55</v>
      </c>
      <c r="C90" s="13" t="s">
        <v>367</v>
      </c>
      <c r="D90" s="13" t="s">
        <v>368</v>
      </c>
      <c r="E90" s="11" t="s">
        <v>48</v>
      </c>
      <c r="F90" s="13" t="s">
        <v>58</v>
      </c>
      <c r="G90" s="13" t="s">
        <v>22</v>
      </c>
      <c r="H90" s="13" t="s">
        <v>212</v>
      </c>
      <c r="I90" s="13" t="s">
        <v>94</v>
      </c>
      <c r="J90" s="13" t="s">
        <v>160</v>
      </c>
      <c r="K90" s="13" t="s">
        <v>156</v>
      </c>
      <c r="L90" s="13" t="s">
        <v>67</v>
      </c>
      <c r="M90" s="13" t="s">
        <v>68</v>
      </c>
      <c r="N90" s="13" t="s">
        <v>25</v>
      </c>
      <c r="O90" s="4" t="str">
        <f>VLOOKUP(ALL_Issues2[[#This Row],[EA Epic Link]],Table466[],2,FALSE)</f>
        <v>Infrastructure Delivery Portfolio</v>
      </c>
      <c r="P90" s="4" t="str">
        <f>_xlfn.XLOOKUP(ALL_Issues2[[#This Row],[Epic Link]], Table35[Other Project Epic Links], Table35[EA Epic Links], ALL_Issues2[[#This Row],[Epic Link]])</f>
        <v>Network</v>
      </c>
    </row>
    <row r="91" spans="1:16" s="5" customFormat="1" ht="28.5" customHeight="1" x14ac:dyDescent="0.25">
      <c r="A91" s="12" t="s">
        <v>369</v>
      </c>
      <c r="B91" s="11" t="s">
        <v>46</v>
      </c>
      <c r="C91" s="13" t="s">
        <v>370</v>
      </c>
      <c r="D91" s="13" t="s">
        <v>371</v>
      </c>
      <c r="E91" s="11" t="s">
        <v>20</v>
      </c>
      <c r="F91" s="13" t="s">
        <v>21</v>
      </c>
      <c r="G91" s="13" t="s">
        <v>22</v>
      </c>
      <c r="H91" s="13" t="s">
        <v>372</v>
      </c>
      <c r="I91" s="13" t="s">
        <v>242</v>
      </c>
      <c r="J91" s="13" t="s">
        <v>51</v>
      </c>
      <c r="K91" s="13" t="s">
        <v>23</v>
      </c>
      <c r="L91" s="13"/>
      <c r="M91" s="13" t="s">
        <v>25</v>
      </c>
      <c r="N91" s="13" t="s">
        <v>25</v>
      </c>
      <c r="O91" s="4" t="str">
        <f>VLOOKUP(ALL_Issues2[[#This Row],[EA Epic Link]],Table466[],2,FALSE)</f>
        <v>Corporate Delivery Portfolio</v>
      </c>
      <c r="P91" s="4" t="str">
        <f>_xlfn.XLOOKUP(ALL_Issues2[[#This Row],[Epic Link]], Table35[Other Project Epic Links], Table35[EA Epic Links], ALL_Issues2[[#This Row],[Epic Link]])</f>
        <v>Business Process Automation</v>
      </c>
    </row>
    <row r="92" spans="1:16" s="5" customFormat="1" ht="28.5" customHeight="1" x14ac:dyDescent="0.25">
      <c r="A92" s="12" t="s">
        <v>373</v>
      </c>
      <c r="B92" s="11" t="s">
        <v>46</v>
      </c>
      <c r="C92" s="13" t="s">
        <v>374</v>
      </c>
      <c r="D92" s="13" t="s">
        <v>375</v>
      </c>
      <c r="E92" s="11" t="s">
        <v>186</v>
      </c>
      <c r="F92" s="13" t="s">
        <v>21</v>
      </c>
      <c r="G92" s="13" t="s">
        <v>22</v>
      </c>
      <c r="H92" s="13" t="s">
        <v>23</v>
      </c>
      <c r="I92" s="13" t="s">
        <v>282</v>
      </c>
      <c r="J92" s="13" t="s">
        <v>101</v>
      </c>
      <c r="K92" s="13" t="s">
        <v>52</v>
      </c>
      <c r="L92" s="13" t="s">
        <v>136</v>
      </c>
      <c r="M92" s="13" t="s">
        <v>25</v>
      </c>
      <c r="N92" s="13" t="s">
        <v>25</v>
      </c>
      <c r="O92" s="4" t="str">
        <f>VLOOKUP(ALL_Issues2[[#This Row],[EA Epic Link]],Table466[],2,FALSE)</f>
        <v>Corporate Delivery Portfolio</v>
      </c>
      <c r="P92" s="4" t="str">
        <f>_xlfn.XLOOKUP(ALL_Issues2[[#This Row],[Epic Link]], Table35[Other Project Epic Links], Table35[EA Epic Links], ALL_Issues2[[#This Row],[Epic Link]])</f>
        <v>Human Capital Management Platform</v>
      </c>
    </row>
    <row r="93" spans="1:16" s="5" customFormat="1" ht="28.5" customHeight="1" x14ac:dyDescent="0.25">
      <c r="A93" s="12" t="s">
        <v>376</v>
      </c>
      <c r="B93" s="11" t="s">
        <v>17</v>
      </c>
      <c r="C93" s="13" t="s">
        <v>377</v>
      </c>
      <c r="D93" s="13" t="s">
        <v>378</v>
      </c>
      <c r="E93" s="11" t="s">
        <v>48</v>
      </c>
      <c r="F93" s="13" t="s">
        <v>21</v>
      </c>
      <c r="G93" s="13" t="s">
        <v>22</v>
      </c>
      <c r="H93" s="13" t="s">
        <v>78</v>
      </c>
      <c r="I93" s="13" t="s">
        <v>64</v>
      </c>
      <c r="J93" s="13" t="s">
        <v>65</v>
      </c>
      <c r="K93" s="13" t="s">
        <v>66</v>
      </c>
      <c r="L93" s="13"/>
      <c r="M93" s="13" t="s">
        <v>68</v>
      </c>
      <c r="N93" s="13" t="s">
        <v>25</v>
      </c>
      <c r="O93" s="4" t="str">
        <f>VLOOKUP(ALL_Issues2[[#This Row],[EA Epic Link]],Table466[],2,FALSE)</f>
        <v>Infrastructure Delivery Portfolio</v>
      </c>
      <c r="P93" s="4" t="str">
        <f>_xlfn.XLOOKUP(ALL_Issues2[[#This Row],[Epic Link]], Table35[Other Project Epic Links], Table35[EA Epic Links], ALL_Issues2[[#This Row],[Epic Link]])</f>
        <v>End User Device Management</v>
      </c>
    </row>
    <row r="94" spans="1:16" s="5" customFormat="1" ht="28.5" customHeight="1" x14ac:dyDescent="0.25">
      <c r="A94" s="12" t="s">
        <v>379</v>
      </c>
      <c r="B94" s="11" t="s">
        <v>17</v>
      </c>
      <c r="C94" s="13" t="s">
        <v>380</v>
      </c>
      <c r="D94" s="13" t="s">
        <v>381</v>
      </c>
      <c r="E94" s="11" t="s">
        <v>251</v>
      </c>
      <c r="F94" s="13" t="s">
        <v>58</v>
      </c>
      <c r="G94" s="13" t="s">
        <v>22</v>
      </c>
      <c r="H94" s="13" t="s">
        <v>281</v>
      </c>
      <c r="I94" s="13" t="s">
        <v>382</v>
      </c>
      <c r="J94" s="13" t="s">
        <v>51</v>
      </c>
      <c r="K94" s="13" t="s">
        <v>23</v>
      </c>
      <c r="L94" s="13"/>
      <c r="M94" s="13" t="s">
        <v>25</v>
      </c>
      <c r="N94" s="13" t="s">
        <v>25</v>
      </c>
      <c r="O94" s="4" t="e">
        <f>VLOOKUP(ALL_Issues2[[#This Row],[EA Epic Link]],Table466[],2,FALSE)</f>
        <v>#N/A</v>
      </c>
      <c r="P94" s="4" t="str">
        <f>_xlfn.XLOOKUP(ALL_Issues2[[#This Row],[Epic Link]], Table35[Other Project Epic Links], Table35[EA Epic Links], ALL_Issues2[[#This Row],[Epic Link]])</f>
        <v>Trust Accounting 2022</v>
      </c>
    </row>
    <row r="95" spans="1:16" s="5" customFormat="1" ht="28.5" customHeight="1" x14ac:dyDescent="0.25">
      <c r="A95" s="12" t="s">
        <v>383</v>
      </c>
      <c r="B95" s="11" t="s">
        <v>55</v>
      </c>
      <c r="C95" s="13" t="s">
        <v>384</v>
      </c>
      <c r="D95" s="13" t="s">
        <v>385</v>
      </c>
      <c r="E95" s="11" t="s">
        <v>48</v>
      </c>
      <c r="F95" s="13" t="s">
        <v>58</v>
      </c>
      <c r="G95" s="13" t="s">
        <v>22</v>
      </c>
      <c r="H95" s="13" t="s">
        <v>134</v>
      </c>
      <c r="I95" s="13" t="s">
        <v>64</v>
      </c>
      <c r="J95" s="13" t="s">
        <v>65</v>
      </c>
      <c r="K95" s="13" t="s">
        <v>73</v>
      </c>
      <c r="L95" s="13"/>
      <c r="M95" s="13" t="s">
        <v>25</v>
      </c>
      <c r="N95" s="13" t="s">
        <v>25</v>
      </c>
      <c r="O95" s="4" t="str">
        <f>VLOOKUP(ALL_Issues2[[#This Row],[EA Epic Link]],Table466[],2,FALSE)</f>
        <v>Infrastructure Delivery Portfolio</v>
      </c>
      <c r="P95" s="4" t="str">
        <f>_xlfn.XLOOKUP(ALL_Issues2[[#This Row],[Epic Link]], Table35[Other Project Epic Links], Table35[EA Epic Links], ALL_Issues2[[#This Row],[Epic Link]])</f>
        <v>End User Device Management</v>
      </c>
    </row>
    <row r="96" spans="1:16" s="5" customFormat="1" ht="28.5" customHeight="1" x14ac:dyDescent="0.25">
      <c r="A96" s="12" t="s">
        <v>386</v>
      </c>
      <c r="B96" s="11" t="s">
        <v>17</v>
      </c>
      <c r="C96" s="13" t="s">
        <v>387</v>
      </c>
      <c r="D96" s="13" t="s">
        <v>388</v>
      </c>
      <c r="E96" s="11" t="s">
        <v>251</v>
      </c>
      <c r="F96" s="13" t="s">
        <v>21</v>
      </c>
      <c r="G96" s="13" t="s">
        <v>22</v>
      </c>
      <c r="H96" s="14" t="s">
        <v>59</v>
      </c>
      <c r="I96" s="13" t="s">
        <v>247</v>
      </c>
      <c r="J96" s="13" t="s">
        <v>51</v>
      </c>
      <c r="K96" s="13" t="s">
        <v>102</v>
      </c>
      <c r="L96" s="13"/>
      <c r="M96" s="13" t="s">
        <v>25</v>
      </c>
      <c r="N96" s="13" t="s">
        <v>25</v>
      </c>
      <c r="O96" s="4" t="str">
        <f>VLOOKUP(ALL_Issues2[[#This Row],[EA Epic Link]],Table466[],2,FALSE)</f>
        <v>Infrastructure Delivery Portfolio</v>
      </c>
      <c r="P96" s="4" t="str">
        <f>_xlfn.XLOOKUP(ALL_Issues2[[#This Row],[Epic Link]], Table35[Other Project Epic Links], Table35[EA Epic Links], ALL_Issues2[[#This Row],[Epic Link]])</f>
        <v>End User Productivity</v>
      </c>
    </row>
    <row r="97" spans="1:16" s="5" customFormat="1" ht="28.5" customHeight="1" x14ac:dyDescent="0.25">
      <c r="A97" s="12" t="s">
        <v>389</v>
      </c>
      <c r="B97" s="11" t="s">
        <v>55</v>
      </c>
      <c r="C97" s="13" t="s">
        <v>390</v>
      </c>
      <c r="D97" s="13" t="s">
        <v>391</v>
      </c>
      <c r="E97" s="11" t="s">
        <v>113</v>
      </c>
      <c r="F97" s="13" t="s">
        <v>58</v>
      </c>
      <c r="G97" s="13" t="s">
        <v>22</v>
      </c>
      <c r="H97" s="13" t="s">
        <v>124</v>
      </c>
      <c r="I97" s="13" t="s">
        <v>392</v>
      </c>
      <c r="J97" s="13" t="s">
        <v>65</v>
      </c>
      <c r="K97" s="13" t="s">
        <v>66</v>
      </c>
      <c r="L97" s="13"/>
      <c r="M97" s="13" t="s">
        <v>25</v>
      </c>
      <c r="N97" s="13" t="s">
        <v>25</v>
      </c>
      <c r="O97" s="4" t="e">
        <f>VLOOKUP(ALL_Issues2[[#This Row],[EA Epic Link]],Table466[],2,FALSE)</f>
        <v>#N/A</v>
      </c>
      <c r="P97" s="4" t="str">
        <f>_xlfn.XLOOKUP(ALL_Issues2[[#This Row],[Epic Link]], Table35[Other Project Epic Links], Table35[EA Epic Links], ALL_Issues2[[#This Row],[Epic Link]])</f>
        <v>Managed Desktop 2022</v>
      </c>
    </row>
    <row r="98" spans="1:16" s="5" customFormat="1" ht="28.5" customHeight="1" x14ac:dyDescent="0.25">
      <c r="A98" s="12" t="s">
        <v>393</v>
      </c>
      <c r="B98" s="11" t="s">
        <v>55</v>
      </c>
      <c r="C98" s="13" t="s">
        <v>394</v>
      </c>
      <c r="D98" s="13" t="s">
        <v>395</v>
      </c>
      <c r="E98" s="11" t="s">
        <v>251</v>
      </c>
      <c r="F98" s="13" t="s">
        <v>21</v>
      </c>
      <c r="G98" s="13" t="s">
        <v>22</v>
      </c>
      <c r="H98" s="14" t="s">
        <v>59</v>
      </c>
      <c r="I98" s="13" t="s">
        <v>202</v>
      </c>
      <c r="J98" s="13" t="s">
        <v>65</v>
      </c>
      <c r="K98" s="13" t="s">
        <v>124</v>
      </c>
      <c r="L98" s="13"/>
      <c r="M98" s="13" t="s">
        <v>68</v>
      </c>
      <c r="N98" s="13" t="s">
        <v>25</v>
      </c>
      <c r="O98" s="4" t="str">
        <f>VLOOKUP(ALL_Issues2[[#This Row],[EA Epic Link]],Table466[],2,FALSE)</f>
        <v>Security Delivery Portfolio</v>
      </c>
      <c r="P98" s="4" t="str">
        <f>_xlfn.XLOOKUP(ALL_Issues2[[#This Row],[Epic Link]], Table35[Other Project Epic Links], Table35[EA Epic Links], ALL_Issues2[[#This Row],[Epic Link]])</f>
        <v>Identity and Access</v>
      </c>
    </row>
    <row r="99" spans="1:16" s="5" customFormat="1" ht="28.5" customHeight="1" x14ac:dyDescent="0.25">
      <c r="A99" s="12" t="s">
        <v>396</v>
      </c>
      <c r="B99" s="11" t="s">
        <v>55</v>
      </c>
      <c r="C99" s="13" t="s">
        <v>397</v>
      </c>
      <c r="D99" s="13" t="s">
        <v>398</v>
      </c>
      <c r="E99" s="11" t="s">
        <v>251</v>
      </c>
      <c r="F99" s="13" t="s">
        <v>21</v>
      </c>
      <c r="G99" s="13" t="s">
        <v>22</v>
      </c>
      <c r="H99" s="13" t="s">
        <v>93</v>
      </c>
      <c r="I99" s="13" t="s">
        <v>306</v>
      </c>
      <c r="J99" s="13" t="s">
        <v>101</v>
      </c>
      <c r="K99" s="13" t="s">
        <v>102</v>
      </c>
      <c r="L99" s="13"/>
      <c r="M99" s="13" t="s">
        <v>25</v>
      </c>
      <c r="N99" s="13" t="s">
        <v>25</v>
      </c>
      <c r="O99" s="4" t="str">
        <f>VLOOKUP(ALL_Issues2[[#This Row],[EA Epic Link]],Table466[],2,FALSE)</f>
        <v>IT Governance</v>
      </c>
      <c r="P99" s="4" t="str">
        <f>_xlfn.XLOOKUP(ALL_Issues2[[#This Row],[Epic Link]], Table35[Other Project Epic Links], Table35[EA Epic Links], ALL_Issues2[[#This Row],[Epic Link]])</f>
        <v>Projects and Initiatives spanning Portfolios</v>
      </c>
    </row>
    <row r="100" spans="1:16" s="5" customFormat="1" ht="28.5" customHeight="1" x14ac:dyDescent="0.25">
      <c r="A100" s="12" t="s">
        <v>399</v>
      </c>
      <c r="B100" s="11" t="s">
        <v>46</v>
      </c>
      <c r="C100" s="13" t="s">
        <v>400</v>
      </c>
      <c r="D100" s="13" t="s">
        <v>401</v>
      </c>
      <c r="E100" s="11" t="s">
        <v>48</v>
      </c>
      <c r="F100" s="13" t="s">
        <v>21</v>
      </c>
      <c r="G100" s="13" t="s">
        <v>22</v>
      </c>
      <c r="H100" s="13" t="s">
        <v>313</v>
      </c>
      <c r="I100" s="13" t="s">
        <v>247</v>
      </c>
      <c r="J100" s="13" t="s">
        <v>51</v>
      </c>
      <c r="K100" s="13" t="s">
        <v>102</v>
      </c>
      <c r="L100" s="13"/>
      <c r="M100" s="13" t="s">
        <v>25</v>
      </c>
      <c r="N100" s="13" t="s">
        <v>25</v>
      </c>
      <c r="O100" s="4" t="str">
        <f>VLOOKUP(ALL_Issues2[[#This Row],[EA Epic Link]],Table466[],2,FALSE)</f>
        <v>Infrastructure Delivery Portfolio</v>
      </c>
      <c r="P100" s="4" t="str">
        <f>_xlfn.XLOOKUP(ALL_Issues2[[#This Row],[Epic Link]], Table35[Other Project Epic Links], Table35[EA Epic Links], ALL_Issues2[[#This Row],[Epic Link]])</f>
        <v>End User Productivity</v>
      </c>
    </row>
    <row r="101" spans="1:16" s="5" customFormat="1" ht="28.5" customHeight="1" x14ac:dyDescent="0.25">
      <c r="A101" s="12" t="s">
        <v>402</v>
      </c>
      <c r="B101" s="11" t="s">
        <v>55</v>
      </c>
      <c r="C101" s="13" t="s">
        <v>403</v>
      </c>
      <c r="D101" s="13" t="s">
        <v>404</v>
      </c>
      <c r="E101" s="11" t="s">
        <v>251</v>
      </c>
      <c r="F101" s="13" t="s">
        <v>405</v>
      </c>
      <c r="G101" s="13" t="s">
        <v>22</v>
      </c>
      <c r="H101" s="13" t="s">
        <v>124</v>
      </c>
      <c r="I101" s="13" t="s">
        <v>202</v>
      </c>
      <c r="J101" s="13" t="s">
        <v>160</v>
      </c>
      <c r="K101" s="13" t="s">
        <v>124</v>
      </c>
      <c r="L101" s="13"/>
      <c r="M101" s="13" t="s">
        <v>68</v>
      </c>
      <c r="N101" s="13" t="s">
        <v>68</v>
      </c>
      <c r="O101" s="4" t="str">
        <f>VLOOKUP(ALL_Issues2[[#This Row],[EA Epic Link]],Table466[],2,FALSE)</f>
        <v>Security Delivery Portfolio</v>
      </c>
      <c r="P101" s="4" t="str">
        <f>_xlfn.XLOOKUP(ALL_Issues2[[#This Row],[Epic Link]], Table35[Other Project Epic Links], Table35[EA Epic Links], ALL_Issues2[[#This Row],[Epic Link]])</f>
        <v>Identity and Access</v>
      </c>
    </row>
    <row r="102" spans="1:16" s="5" customFormat="1" ht="28.5" customHeight="1" x14ac:dyDescent="0.25">
      <c r="A102" s="12" t="s">
        <v>406</v>
      </c>
      <c r="B102" s="11" t="s">
        <v>55</v>
      </c>
      <c r="C102" s="13" t="s">
        <v>407</v>
      </c>
      <c r="D102" s="13" t="s">
        <v>408</v>
      </c>
      <c r="E102" s="11" t="s">
        <v>20</v>
      </c>
      <c r="F102" s="13" t="s">
        <v>405</v>
      </c>
      <c r="G102" s="13" t="s">
        <v>22</v>
      </c>
      <c r="H102" s="13" t="s">
        <v>124</v>
      </c>
      <c r="I102" s="13" t="s">
        <v>202</v>
      </c>
      <c r="J102" s="13" t="s">
        <v>65</v>
      </c>
      <c r="K102" s="13" t="s">
        <v>73</v>
      </c>
      <c r="L102" s="13"/>
      <c r="M102" s="13" t="s">
        <v>68</v>
      </c>
      <c r="N102" s="13" t="s">
        <v>68</v>
      </c>
      <c r="O102" s="4" t="str">
        <f>VLOOKUP(ALL_Issues2[[#This Row],[EA Epic Link]],Table466[],2,FALSE)</f>
        <v>Security Delivery Portfolio</v>
      </c>
      <c r="P102" s="4" t="str">
        <f>_xlfn.XLOOKUP(ALL_Issues2[[#This Row],[Epic Link]], Table35[Other Project Epic Links], Table35[EA Epic Links], ALL_Issues2[[#This Row],[Epic Link]])</f>
        <v>Identity and Access</v>
      </c>
    </row>
    <row r="103" spans="1:16" s="5" customFormat="1" ht="28.5" customHeight="1" x14ac:dyDescent="0.25">
      <c r="A103" s="12" t="s">
        <v>409</v>
      </c>
      <c r="B103" s="11" t="s">
        <v>46</v>
      </c>
      <c r="C103" s="13" t="s">
        <v>410</v>
      </c>
      <c r="D103" s="13" t="s">
        <v>411</v>
      </c>
      <c r="E103" s="11" t="s">
        <v>20</v>
      </c>
      <c r="F103" s="13" t="s">
        <v>58</v>
      </c>
      <c r="G103" s="13" t="s">
        <v>22</v>
      </c>
      <c r="H103" s="13" t="s">
        <v>29</v>
      </c>
      <c r="I103" s="13" t="s">
        <v>72</v>
      </c>
      <c r="J103" s="13" t="s">
        <v>51</v>
      </c>
      <c r="K103" s="13" t="s">
        <v>52</v>
      </c>
      <c r="L103" s="13"/>
      <c r="M103" s="13" t="s">
        <v>25</v>
      </c>
      <c r="N103" s="13" t="s">
        <v>25</v>
      </c>
      <c r="O103" s="4" t="str">
        <f>VLOOKUP(ALL_Issues2[[#This Row],[EA Epic Link]],Table466[],2,FALSE)</f>
        <v>Corporate Delivery Portfolio</v>
      </c>
      <c r="P103" s="4" t="str">
        <f>_xlfn.XLOOKUP(ALL_Issues2[[#This Row],[Epic Link]], Table35[Other Project Epic Links], Table35[EA Epic Links], ALL_Issues2[[#This Row],[Epic Link]])</f>
        <v>Investment Management</v>
      </c>
    </row>
    <row r="104" spans="1:16" s="5" customFormat="1" ht="28.5" customHeight="1" x14ac:dyDescent="0.25">
      <c r="A104" s="12" t="s">
        <v>412</v>
      </c>
      <c r="B104" s="11" t="s">
        <v>17</v>
      </c>
      <c r="C104" s="13" t="s">
        <v>413</v>
      </c>
      <c r="D104" s="13" t="s">
        <v>414</v>
      </c>
      <c r="E104" s="11" t="s">
        <v>48</v>
      </c>
      <c r="F104" s="13" t="s">
        <v>58</v>
      </c>
      <c r="G104" s="13" t="s">
        <v>22</v>
      </c>
      <c r="H104" s="13" t="s">
        <v>415</v>
      </c>
      <c r="I104" s="13" t="s">
        <v>72</v>
      </c>
      <c r="J104" s="13" t="s">
        <v>51</v>
      </c>
      <c r="K104" s="13" t="s">
        <v>23</v>
      </c>
      <c r="L104" s="13"/>
      <c r="M104" s="13"/>
      <c r="N104" s="13"/>
      <c r="O104" s="4" t="str">
        <f>VLOOKUP(ALL_Issues2[[#This Row],[EA Epic Link]],Table466[],2,FALSE)</f>
        <v>Corporate Delivery Portfolio</v>
      </c>
      <c r="P104" s="4" t="str">
        <f>_xlfn.XLOOKUP(ALL_Issues2[[#This Row],[Epic Link]], Table35[Other Project Epic Links], Table35[EA Epic Links], ALL_Issues2[[#This Row],[Epic Link]])</f>
        <v>Investment Management</v>
      </c>
    </row>
    <row r="105" spans="1:16" s="5" customFormat="1" ht="28.5" customHeight="1" x14ac:dyDescent="0.25">
      <c r="A105" s="12" t="s">
        <v>416</v>
      </c>
      <c r="B105" s="11" t="s">
        <v>46</v>
      </c>
      <c r="C105" s="13" t="s">
        <v>417</v>
      </c>
      <c r="D105" s="13" t="s">
        <v>418</v>
      </c>
      <c r="E105" s="11" t="s">
        <v>20</v>
      </c>
      <c r="F105" s="13" t="s">
        <v>21</v>
      </c>
      <c r="G105" s="13" t="s">
        <v>246</v>
      </c>
      <c r="H105" s="13" t="s">
        <v>419</v>
      </c>
      <c r="I105" s="13" t="s">
        <v>420</v>
      </c>
      <c r="J105" s="13" t="s">
        <v>101</v>
      </c>
      <c r="K105" s="13" t="s">
        <v>225</v>
      </c>
      <c r="L105" s="13" t="s">
        <v>226</v>
      </c>
      <c r="M105" s="13" t="s">
        <v>25</v>
      </c>
      <c r="N105" s="13" t="s">
        <v>25</v>
      </c>
      <c r="O105" s="4" t="str">
        <f>VLOOKUP(ALL_Issues2[[#This Row],[EA Epic Link]],Table466[],2,FALSE)</f>
        <v>Data and Integration Delivery Portfolio</v>
      </c>
      <c r="P105" s="4" t="str">
        <f>_xlfn.XLOOKUP(ALL_Issues2[[#This Row],[Epic Link]], Table35[Other Project Epic Links], Table35[EA Epic Links], ALL_Issues2[[#This Row],[Epic Link]])</f>
        <v>Robotic Process Automation</v>
      </c>
    </row>
    <row r="106" spans="1:16" s="5" customFormat="1" ht="28.5" customHeight="1" x14ac:dyDescent="0.25">
      <c r="A106" s="12" t="s">
        <v>421</v>
      </c>
      <c r="B106" s="11" t="s">
        <v>55</v>
      </c>
      <c r="C106" s="13" t="s">
        <v>422</v>
      </c>
      <c r="D106" s="13" t="s">
        <v>423</v>
      </c>
      <c r="E106" s="11" t="s">
        <v>48</v>
      </c>
      <c r="F106" s="13" t="s">
        <v>21</v>
      </c>
      <c r="G106" s="13" t="s">
        <v>22</v>
      </c>
      <c r="H106" s="13" t="s">
        <v>300</v>
      </c>
      <c r="I106" s="13" t="s">
        <v>301</v>
      </c>
      <c r="J106" s="13" t="s">
        <v>101</v>
      </c>
      <c r="K106" s="13" t="s">
        <v>102</v>
      </c>
      <c r="L106" s="13"/>
      <c r="M106" s="13" t="s">
        <v>25</v>
      </c>
      <c r="N106" s="13" t="s">
        <v>25</v>
      </c>
      <c r="O106" s="4" t="str">
        <f>VLOOKUP(ALL_Issues2[[#This Row],[EA Epic Link]],Table466[],2,FALSE)</f>
        <v>Digital Delivery Portfolio</v>
      </c>
      <c r="P106" s="4" t="str">
        <f>_xlfn.XLOOKUP(ALL_Issues2[[#This Row],[Epic Link]], Table35[Other Project Epic Links], Table35[EA Epic Links], ALL_Issues2[[#This Row],[Epic Link]])</f>
        <v>IGM Core Digital Platform</v>
      </c>
    </row>
    <row r="107" spans="1:16" s="5" customFormat="1" ht="28.5" customHeight="1" x14ac:dyDescent="0.25">
      <c r="A107" s="12" t="s">
        <v>424</v>
      </c>
      <c r="B107" s="11" t="s">
        <v>46</v>
      </c>
      <c r="C107" s="13" t="s">
        <v>425</v>
      </c>
      <c r="D107" s="13" t="s">
        <v>426</v>
      </c>
      <c r="E107" s="11" t="s">
        <v>251</v>
      </c>
      <c r="F107" s="13" t="s">
        <v>21</v>
      </c>
      <c r="G107" s="13" t="s">
        <v>22</v>
      </c>
      <c r="H107" s="13" t="s">
        <v>355</v>
      </c>
      <c r="I107" s="13" t="s">
        <v>282</v>
      </c>
      <c r="J107" s="13" t="s">
        <v>51</v>
      </c>
      <c r="K107" s="13" t="s">
        <v>63</v>
      </c>
      <c r="L107" s="13"/>
      <c r="M107" s="13" t="s">
        <v>25</v>
      </c>
      <c r="N107" s="13" t="s">
        <v>25</v>
      </c>
      <c r="O107" s="4" t="str">
        <f>VLOOKUP(ALL_Issues2[[#This Row],[EA Epic Link]],Table466[],2,FALSE)</f>
        <v>Corporate Delivery Portfolio</v>
      </c>
      <c r="P107" s="4" t="str">
        <f>_xlfn.XLOOKUP(ALL_Issues2[[#This Row],[Epic Link]], Table35[Other Project Epic Links], Table35[EA Epic Links], ALL_Issues2[[#This Row],[Epic Link]])</f>
        <v>Human Capital Management Platform</v>
      </c>
    </row>
    <row r="108" spans="1:16" s="5" customFormat="1" ht="28.5" customHeight="1" x14ac:dyDescent="0.25">
      <c r="A108" s="12" t="s">
        <v>427</v>
      </c>
      <c r="B108" s="11" t="s">
        <v>55</v>
      </c>
      <c r="C108" s="13" t="s">
        <v>428</v>
      </c>
      <c r="D108" s="13" t="s">
        <v>429</v>
      </c>
      <c r="E108" s="11" t="s">
        <v>251</v>
      </c>
      <c r="F108" s="13" t="s">
        <v>21</v>
      </c>
      <c r="G108" s="13" t="s">
        <v>22</v>
      </c>
      <c r="H108" s="14" t="s">
        <v>59</v>
      </c>
      <c r="I108" s="13" t="s">
        <v>202</v>
      </c>
      <c r="J108" s="13" t="s">
        <v>108</v>
      </c>
      <c r="K108" s="13" t="s">
        <v>124</v>
      </c>
      <c r="L108" s="13" t="s">
        <v>161</v>
      </c>
      <c r="M108" s="13" t="s">
        <v>25</v>
      </c>
      <c r="N108" s="13" t="s">
        <v>25</v>
      </c>
      <c r="O108" s="4" t="str">
        <f>VLOOKUP(ALL_Issues2[[#This Row],[EA Epic Link]],Table466[],2,FALSE)</f>
        <v>Security Delivery Portfolio</v>
      </c>
      <c r="P108" s="4" t="str">
        <f>_xlfn.XLOOKUP(ALL_Issues2[[#This Row],[Epic Link]], Table35[Other Project Epic Links], Table35[EA Epic Links], ALL_Issues2[[#This Row],[Epic Link]])</f>
        <v>Identity and Access</v>
      </c>
    </row>
    <row r="109" spans="1:16" s="5" customFormat="1" ht="28.5" customHeight="1" x14ac:dyDescent="0.25">
      <c r="A109" s="12" t="s">
        <v>430</v>
      </c>
      <c r="B109" s="11" t="s">
        <v>17</v>
      </c>
      <c r="C109" s="13" t="s">
        <v>431</v>
      </c>
      <c r="D109" s="13" t="s">
        <v>432</v>
      </c>
      <c r="E109" s="11" t="s">
        <v>20</v>
      </c>
      <c r="F109" s="13" t="s">
        <v>21</v>
      </c>
      <c r="G109" s="13" t="s">
        <v>22</v>
      </c>
      <c r="H109" s="13" t="s">
        <v>43</v>
      </c>
      <c r="I109" s="13" t="s">
        <v>72</v>
      </c>
      <c r="J109" s="13" t="s">
        <v>51</v>
      </c>
      <c r="K109" s="13" t="s">
        <v>23</v>
      </c>
      <c r="L109" s="13"/>
      <c r="M109" s="13" t="s">
        <v>68</v>
      </c>
      <c r="N109" s="13" t="s">
        <v>25</v>
      </c>
      <c r="O109" s="4" t="str">
        <f>VLOOKUP(ALL_Issues2[[#This Row],[EA Epic Link]],Table466[],2,FALSE)</f>
        <v>Corporate Delivery Portfolio</v>
      </c>
      <c r="P109" s="4" t="str">
        <f>_xlfn.XLOOKUP(ALL_Issues2[[#This Row],[Epic Link]], Table35[Other Project Epic Links], Table35[EA Epic Links], ALL_Issues2[[#This Row],[Epic Link]])</f>
        <v>Investment Management</v>
      </c>
    </row>
    <row r="110" spans="1:16" s="5" customFormat="1" ht="28.5" customHeight="1" x14ac:dyDescent="0.25">
      <c r="A110" s="12" t="s">
        <v>433</v>
      </c>
      <c r="B110" s="11" t="s">
        <v>55</v>
      </c>
      <c r="C110" s="13" t="s">
        <v>434</v>
      </c>
      <c r="D110" s="13" t="s">
        <v>434</v>
      </c>
      <c r="E110" s="11" t="s">
        <v>113</v>
      </c>
      <c r="F110" s="13" t="s">
        <v>58</v>
      </c>
      <c r="G110" s="13" t="s">
        <v>22</v>
      </c>
      <c r="H110" s="13" t="s">
        <v>355</v>
      </c>
      <c r="I110" s="13" t="s">
        <v>282</v>
      </c>
      <c r="J110" s="13" t="s">
        <v>51</v>
      </c>
      <c r="K110" s="13" t="s">
        <v>23</v>
      </c>
      <c r="L110" s="13" t="s">
        <v>95</v>
      </c>
      <c r="M110" s="13" t="s">
        <v>25</v>
      </c>
      <c r="N110" s="13" t="s">
        <v>25</v>
      </c>
      <c r="O110" s="4" t="str">
        <f>VLOOKUP(ALL_Issues2[[#This Row],[EA Epic Link]],Table466[],2,FALSE)</f>
        <v>Corporate Delivery Portfolio</v>
      </c>
      <c r="P110" s="4" t="str">
        <f>_xlfn.XLOOKUP(ALL_Issues2[[#This Row],[Epic Link]], Table35[Other Project Epic Links], Table35[EA Epic Links], ALL_Issues2[[#This Row],[Epic Link]])</f>
        <v>Human Capital Management Platform</v>
      </c>
    </row>
    <row r="111" spans="1:16" s="5" customFormat="1" ht="28.5" customHeight="1" x14ac:dyDescent="0.25">
      <c r="A111" s="12" t="s">
        <v>435</v>
      </c>
      <c r="B111" s="11" t="s">
        <v>55</v>
      </c>
      <c r="C111" s="13" t="s">
        <v>436</v>
      </c>
      <c r="D111" s="13" t="s">
        <v>437</v>
      </c>
      <c r="E111" s="11" t="s">
        <v>48</v>
      </c>
      <c r="F111" s="13" t="s">
        <v>21</v>
      </c>
      <c r="G111" s="13" t="s">
        <v>22</v>
      </c>
      <c r="H111" s="13" t="s">
        <v>223</v>
      </c>
      <c r="I111" s="13" t="s">
        <v>224</v>
      </c>
      <c r="J111" s="13" t="s">
        <v>101</v>
      </c>
      <c r="K111" s="13" t="s">
        <v>225</v>
      </c>
      <c r="L111" s="13" t="s">
        <v>226</v>
      </c>
      <c r="M111" s="13" t="s">
        <v>25</v>
      </c>
      <c r="N111" s="13" t="s">
        <v>25</v>
      </c>
      <c r="O111" s="4" t="str">
        <f>VLOOKUP(ALL_Issues2[[#This Row],[EA Epic Link]],Table466[],2,FALSE)</f>
        <v>Data and Integration Delivery Portfolio</v>
      </c>
      <c r="P111" s="4" t="str">
        <f>_xlfn.XLOOKUP(ALL_Issues2[[#This Row],[Epic Link]], Table35[Other Project Epic Links], Table35[EA Epic Links], ALL_Issues2[[#This Row],[Epic Link]])</f>
        <v>Core API and Integration Platform</v>
      </c>
    </row>
    <row r="112" spans="1:16" s="5" customFormat="1" ht="28.5" customHeight="1" x14ac:dyDescent="0.25">
      <c r="A112" s="12" t="s">
        <v>438</v>
      </c>
      <c r="B112" s="11" t="s">
        <v>17</v>
      </c>
      <c r="C112" s="13" t="s">
        <v>439</v>
      </c>
      <c r="D112" s="13" t="s">
        <v>440</v>
      </c>
      <c r="E112" s="11" t="s">
        <v>251</v>
      </c>
      <c r="F112" s="13" t="s">
        <v>58</v>
      </c>
      <c r="G112" s="13" t="s">
        <v>22</v>
      </c>
      <c r="H112" s="13" t="s">
        <v>66</v>
      </c>
      <c r="I112" s="13" t="s">
        <v>64</v>
      </c>
      <c r="J112" s="13" t="s">
        <v>146</v>
      </c>
      <c r="K112" s="13" t="s">
        <v>124</v>
      </c>
      <c r="L112" s="13" t="s">
        <v>147</v>
      </c>
      <c r="M112" s="13" t="s">
        <v>68</v>
      </c>
      <c r="N112" s="13" t="s">
        <v>25</v>
      </c>
      <c r="O112" s="4" t="str">
        <f>VLOOKUP(ALL_Issues2[[#This Row],[EA Epic Link]],Table466[],2,FALSE)</f>
        <v>Infrastructure Delivery Portfolio</v>
      </c>
      <c r="P112" s="4" t="str">
        <f>_xlfn.XLOOKUP(ALL_Issues2[[#This Row],[Epic Link]], Table35[Other Project Epic Links], Table35[EA Epic Links], ALL_Issues2[[#This Row],[Epic Link]])</f>
        <v>End User Device Management</v>
      </c>
    </row>
    <row r="113" spans="1:16" s="5" customFormat="1" ht="28.5" customHeight="1" x14ac:dyDescent="0.25">
      <c r="A113" s="12" t="s">
        <v>441</v>
      </c>
      <c r="B113" s="11" t="s">
        <v>55</v>
      </c>
      <c r="C113" s="13" t="s">
        <v>442</v>
      </c>
      <c r="D113" s="13" t="s">
        <v>443</v>
      </c>
      <c r="E113" s="11" t="s">
        <v>186</v>
      </c>
      <c r="F113" s="13" t="s">
        <v>58</v>
      </c>
      <c r="G113" s="13" t="s">
        <v>22</v>
      </c>
      <c r="H113" s="13" t="s">
        <v>300</v>
      </c>
      <c r="I113" s="13" t="s">
        <v>114</v>
      </c>
      <c r="J113" s="13" t="s">
        <v>101</v>
      </c>
      <c r="K113" s="13" t="s">
        <v>102</v>
      </c>
      <c r="L113" s="13"/>
      <c r="M113" s="13" t="s">
        <v>25</v>
      </c>
      <c r="N113" s="13" t="s">
        <v>25</v>
      </c>
      <c r="O113" s="4" t="str">
        <f>VLOOKUP(ALL_Issues2[[#This Row],[EA Epic Link]],Table466[],2,FALSE)</f>
        <v>Digital Delivery Portfolio</v>
      </c>
      <c r="P113" s="4" t="str">
        <f>_xlfn.XLOOKUP(ALL_Issues2[[#This Row],[Epic Link]], Table35[Other Project Epic Links], Table35[EA Epic Links], ALL_Issues2[[#This Row],[Epic Link]])</f>
        <v>IG Distribution and Marketing</v>
      </c>
    </row>
    <row r="114" spans="1:16" s="5" customFormat="1" ht="28.5" customHeight="1" x14ac:dyDescent="0.25">
      <c r="A114" s="12" t="s">
        <v>444</v>
      </c>
      <c r="B114" s="11" t="s">
        <v>46</v>
      </c>
      <c r="C114" s="13" t="s">
        <v>445</v>
      </c>
      <c r="D114" s="13" t="s">
        <v>446</v>
      </c>
      <c r="E114" s="11" t="s">
        <v>251</v>
      </c>
      <c r="F114" s="13" t="s">
        <v>21</v>
      </c>
      <c r="G114" s="13" t="s">
        <v>22</v>
      </c>
      <c r="H114" s="13" t="s">
        <v>49</v>
      </c>
      <c r="I114" s="13" t="s">
        <v>447</v>
      </c>
      <c r="J114" s="13" t="s">
        <v>146</v>
      </c>
      <c r="K114" s="13" t="s">
        <v>52</v>
      </c>
      <c r="L114" s="13"/>
      <c r="M114" s="13" t="s">
        <v>25</v>
      </c>
      <c r="N114" s="13" t="s">
        <v>25</v>
      </c>
      <c r="O114" s="4" t="e">
        <f>VLOOKUP(ALL_Issues2[[#This Row],[EA Epic Link]],Table466[],2,FALSE)</f>
        <v>#N/A</v>
      </c>
      <c r="P114" s="4" t="str">
        <f>_xlfn.XLOOKUP(ALL_Issues2[[#This Row],[Epic Link]], Table35[Other Project Epic Links], Table35[EA Epic Links], ALL_Issues2[[#This Row],[Epic Link]])</f>
        <v>Salesforce Platform 2022</v>
      </c>
    </row>
    <row r="115" spans="1:16" s="5" customFormat="1" ht="28.5" customHeight="1" x14ac:dyDescent="0.25">
      <c r="A115" s="12" t="s">
        <v>448</v>
      </c>
      <c r="B115" s="11" t="s">
        <v>55</v>
      </c>
      <c r="C115" s="13" t="s">
        <v>449</v>
      </c>
      <c r="D115" s="13" t="s">
        <v>450</v>
      </c>
      <c r="E115" s="11" t="s">
        <v>20</v>
      </c>
      <c r="F115" s="13" t="s">
        <v>58</v>
      </c>
      <c r="G115" s="13" t="s">
        <v>22</v>
      </c>
      <c r="H115" s="13" t="s">
        <v>323</v>
      </c>
      <c r="I115" s="13" t="s">
        <v>64</v>
      </c>
      <c r="J115" s="13" t="s">
        <v>65</v>
      </c>
      <c r="K115" s="13" t="s">
        <v>124</v>
      </c>
      <c r="L115" s="13"/>
      <c r="M115" s="13" t="s">
        <v>25</v>
      </c>
      <c r="N115" s="13" t="s">
        <v>25</v>
      </c>
      <c r="O115" s="4" t="str">
        <f>VLOOKUP(ALL_Issues2[[#This Row],[EA Epic Link]],Table466[],2,FALSE)</f>
        <v>Infrastructure Delivery Portfolio</v>
      </c>
      <c r="P115" s="4" t="str">
        <f>_xlfn.XLOOKUP(ALL_Issues2[[#This Row],[Epic Link]], Table35[Other Project Epic Links], Table35[EA Epic Links], ALL_Issues2[[#This Row],[Epic Link]])</f>
        <v>End User Device Management</v>
      </c>
    </row>
    <row r="116" spans="1:16" s="5" customFormat="1" ht="28.5" customHeight="1" x14ac:dyDescent="0.25">
      <c r="A116" s="12" t="s">
        <v>451</v>
      </c>
      <c r="B116" s="11" t="s">
        <v>55</v>
      </c>
      <c r="C116" s="13" t="s">
        <v>452</v>
      </c>
      <c r="D116" s="13" t="s">
        <v>453</v>
      </c>
      <c r="E116" s="11" t="s">
        <v>20</v>
      </c>
      <c r="F116" s="13" t="s">
        <v>58</v>
      </c>
      <c r="G116" s="13" t="s">
        <v>22</v>
      </c>
      <c r="H116" s="14" t="s">
        <v>59</v>
      </c>
      <c r="I116" s="13" t="s">
        <v>454</v>
      </c>
      <c r="J116" s="13" t="s">
        <v>51</v>
      </c>
      <c r="K116" s="13" t="s">
        <v>52</v>
      </c>
      <c r="L116" s="13"/>
      <c r="M116" s="13" t="s">
        <v>25</v>
      </c>
      <c r="N116" s="13" t="s">
        <v>25</v>
      </c>
      <c r="O116" s="4" t="str">
        <f>VLOOKUP(ALL_Issues2[[#This Row],[EA Epic Link]],Table466[],2,FALSE)</f>
        <v>Corporate Delivery Portfolio</v>
      </c>
      <c r="P116" s="4" t="str">
        <f>_xlfn.XLOOKUP(ALL_Issues2[[#This Row],[Epic Link]], Table35[Other Project Epic Links], Table35[EA Epic Links], ALL_Issues2[[#This Row],[Epic Link]])</f>
        <v>Transfer Agency</v>
      </c>
    </row>
    <row r="117" spans="1:16" s="5" customFormat="1" ht="28.5" customHeight="1" x14ac:dyDescent="0.25">
      <c r="A117" s="12" t="s">
        <v>455</v>
      </c>
      <c r="B117" s="11" t="s">
        <v>55</v>
      </c>
      <c r="C117" s="13" t="s">
        <v>456</v>
      </c>
      <c r="D117" s="13" t="s">
        <v>457</v>
      </c>
      <c r="E117" s="11" t="s">
        <v>48</v>
      </c>
      <c r="F117" s="13" t="s">
        <v>58</v>
      </c>
      <c r="G117" s="13" t="s">
        <v>22</v>
      </c>
      <c r="H117" s="13" t="s">
        <v>66</v>
      </c>
      <c r="I117" s="13" t="s">
        <v>107</v>
      </c>
      <c r="J117" s="13" t="s">
        <v>108</v>
      </c>
      <c r="K117" s="13" t="s">
        <v>124</v>
      </c>
      <c r="L117" s="13" t="s">
        <v>109</v>
      </c>
      <c r="M117" s="13" t="s">
        <v>25</v>
      </c>
      <c r="N117" s="13" t="s">
        <v>25</v>
      </c>
      <c r="O117" s="4" t="str">
        <f>VLOOKUP(ALL_Issues2[[#This Row],[EA Epic Link]],Table466[],2,FALSE)</f>
        <v>Infrastructure Delivery Portfolio</v>
      </c>
      <c r="P117" s="4" t="str">
        <f>_xlfn.XLOOKUP(ALL_Issues2[[#This Row],[Epic Link]], Table35[Other Project Epic Links], Table35[EA Epic Links], ALL_Issues2[[#This Row],[Epic Link]])</f>
        <v>IT Service Management Platform</v>
      </c>
    </row>
    <row r="118" spans="1:16" s="5" customFormat="1" ht="28.5" customHeight="1" x14ac:dyDescent="0.25">
      <c r="A118" s="12" t="s">
        <v>458</v>
      </c>
      <c r="B118" s="11" t="s">
        <v>17</v>
      </c>
      <c r="C118" s="13" t="s">
        <v>459</v>
      </c>
      <c r="D118" s="13" t="s">
        <v>460</v>
      </c>
      <c r="E118" s="11" t="s">
        <v>48</v>
      </c>
      <c r="F118" s="13" t="s">
        <v>21</v>
      </c>
      <c r="G118" s="13" t="s">
        <v>22</v>
      </c>
      <c r="H118" s="13" t="s">
        <v>102</v>
      </c>
      <c r="I118" s="13" t="s">
        <v>202</v>
      </c>
      <c r="J118" s="13" t="s">
        <v>160</v>
      </c>
      <c r="K118" s="13" t="s">
        <v>73</v>
      </c>
      <c r="L118" s="13"/>
      <c r="M118" s="13" t="s">
        <v>25</v>
      </c>
      <c r="N118" s="13" t="s">
        <v>25</v>
      </c>
      <c r="O118" s="4" t="str">
        <f>VLOOKUP(ALL_Issues2[[#This Row],[EA Epic Link]],Table466[],2,FALSE)</f>
        <v>Security Delivery Portfolio</v>
      </c>
      <c r="P118" s="4" t="str">
        <f>_xlfn.XLOOKUP(ALL_Issues2[[#This Row],[Epic Link]], Table35[Other Project Epic Links], Table35[EA Epic Links], ALL_Issues2[[#This Row],[Epic Link]])</f>
        <v>Identity and Access</v>
      </c>
    </row>
    <row r="119" spans="1:16" s="5" customFormat="1" ht="28.5" customHeight="1" x14ac:dyDescent="0.25">
      <c r="A119" s="12" t="s">
        <v>461</v>
      </c>
      <c r="B119" s="11" t="s">
        <v>46</v>
      </c>
      <c r="C119" s="13" t="s">
        <v>462</v>
      </c>
      <c r="D119" s="13" t="s">
        <v>463</v>
      </c>
      <c r="E119" s="11" t="s">
        <v>113</v>
      </c>
      <c r="F119" s="13" t="s">
        <v>58</v>
      </c>
      <c r="G119" s="13" t="s">
        <v>22</v>
      </c>
      <c r="H119" s="13" t="s">
        <v>281</v>
      </c>
      <c r="I119" s="13" t="s">
        <v>141</v>
      </c>
      <c r="J119" s="13" t="s">
        <v>51</v>
      </c>
      <c r="K119" s="13" t="s">
        <v>23</v>
      </c>
      <c r="L119" s="13"/>
      <c r="M119" s="13" t="s">
        <v>25</v>
      </c>
      <c r="N119" s="13" t="s">
        <v>25</v>
      </c>
      <c r="O119" s="4" t="str">
        <f>VLOOKUP(ALL_Issues2[[#This Row],[EA Epic Link]],Table466[],2,FALSE)</f>
        <v>Corporate Delivery Portfolio</v>
      </c>
      <c r="P119" s="4" t="str">
        <f>_xlfn.XLOOKUP(ALL_Issues2[[#This Row],[Epic Link]], Table35[Other Project Epic Links], Table35[EA Epic Links], ALL_Issues2[[#This Row],[Epic Link]])</f>
        <v>Corporate Finance</v>
      </c>
    </row>
    <row r="120" spans="1:16" s="5" customFormat="1" ht="28.5" customHeight="1" x14ac:dyDescent="0.25">
      <c r="A120" s="12" t="s">
        <v>464</v>
      </c>
      <c r="B120" s="11" t="s">
        <v>46</v>
      </c>
      <c r="C120" s="13" t="s">
        <v>465</v>
      </c>
      <c r="D120" s="13" t="s">
        <v>466</v>
      </c>
      <c r="E120" s="11" t="s">
        <v>251</v>
      </c>
      <c r="F120" s="13" t="s">
        <v>92</v>
      </c>
      <c r="G120" s="13" t="s">
        <v>246</v>
      </c>
      <c r="H120" s="13" t="s">
        <v>124</v>
      </c>
      <c r="I120" s="13" t="s">
        <v>306</v>
      </c>
      <c r="J120" s="13" t="s">
        <v>65</v>
      </c>
      <c r="K120" s="13" t="s">
        <v>73</v>
      </c>
      <c r="L120" s="13" t="s">
        <v>67</v>
      </c>
      <c r="M120" s="13" t="s">
        <v>68</v>
      </c>
      <c r="N120" s="13" t="s">
        <v>25</v>
      </c>
      <c r="O120" s="4" t="str">
        <f>VLOOKUP(ALL_Issues2[[#This Row],[EA Epic Link]],Table466[],2,FALSE)</f>
        <v>IT Governance</v>
      </c>
      <c r="P120" s="4" t="str">
        <f>_xlfn.XLOOKUP(ALL_Issues2[[#This Row],[Epic Link]], Table35[Other Project Epic Links], Table35[EA Epic Links], ALL_Issues2[[#This Row],[Epic Link]])</f>
        <v>Projects and Initiatives spanning Portfolios</v>
      </c>
    </row>
    <row r="121" spans="1:16" s="5" customFormat="1" ht="28.5" customHeight="1" x14ac:dyDescent="0.25">
      <c r="A121" s="12" t="s">
        <v>467</v>
      </c>
      <c r="B121" s="11" t="s">
        <v>46</v>
      </c>
      <c r="C121" s="13" t="s">
        <v>468</v>
      </c>
      <c r="D121" s="13" t="s">
        <v>469</v>
      </c>
      <c r="E121" s="11" t="s">
        <v>48</v>
      </c>
      <c r="F121" s="13" t="s">
        <v>58</v>
      </c>
      <c r="G121" s="13" t="s">
        <v>193</v>
      </c>
      <c r="H121" s="13" t="s">
        <v>281</v>
      </c>
      <c r="I121" s="13" t="s">
        <v>252</v>
      </c>
      <c r="J121" s="13" t="s">
        <v>51</v>
      </c>
      <c r="K121" s="13" t="s">
        <v>23</v>
      </c>
      <c r="L121" s="13" t="s">
        <v>136</v>
      </c>
      <c r="M121" s="13" t="s">
        <v>25</v>
      </c>
      <c r="N121" s="13" t="s">
        <v>25</v>
      </c>
      <c r="O121" s="4" t="str">
        <f>VLOOKUP(ALL_Issues2[[#This Row],[EA Epic Link]],Table466[],2,FALSE)</f>
        <v>Corporate Delivery Portfolio</v>
      </c>
      <c r="P121" s="4" t="str">
        <f>_xlfn.XLOOKUP(ALL_Issues2[[#This Row],[Epic Link]], Table35[Other Project Epic Links], Table35[EA Epic Links], ALL_Issues2[[#This Row],[Epic Link]])</f>
        <v>Governance, Risk and Compliance</v>
      </c>
    </row>
    <row r="122" spans="1:16" s="5" customFormat="1" ht="28.5" customHeight="1" x14ac:dyDescent="0.25">
      <c r="A122" s="12" t="s">
        <v>470</v>
      </c>
      <c r="B122" s="11" t="s">
        <v>46</v>
      </c>
      <c r="C122" s="13" t="s">
        <v>471</v>
      </c>
      <c r="D122" s="13" t="s">
        <v>472</v>
      </c>
      <c r="E122" s="11" t="s">
        <v>251</v>
      </c>
      <c r="F122" s="13" t="s">
        <v>58</v>
      </c>
      <c r="G122" s="13" t="s">
        <v>22</v>
      </c>
      <c r="H122" s="13" t="s">
        <v>281</v>
      </c>
      <c r="I122" s="13" t="s">
        <v>141</v>
      </c>
      <c r="J122" s="13" t="s">
        <v>51</v>
      </c>
      <c r="K122" s="13" t="s">
        <v>23</v>
      </c>
      <c r="L122" s="13"/>
      <c r="M122" s="13" t="s">
        <v>25</v>
      </c>
      <c r="N122" s="13" t="s">
        <v>25</v>
      </c>
      <c r="O122" s="4" t="str">
        <f>VLOOKUP(ALL_Issues2[[#This Row],[EA Epic Link]],Table466[],2,FALSE)</f>
        <v>Corporate Delivery Portfolio</v>
      </c>
      <c r="P122" s="4" t="str">
        <f>_xlfn.XLOOKUP(ALL_Issues2[[#This Row],[Epic Link]], Table35[Other Project Epic Links], Table35[EA Epic Links], ALL_Issues2[[#This Row],[Epic Link]])</f>
        <v>Corporate Finance</v>
      </c>
    </row>
    <row r="123" spans="1:16" s="5" customFormat="1" ht="28.5" customHeight="1" x14ac:dyDescent="0.25">
      <c r="A123" s="12" t="s">
        <v>473</v>
      </c>
      <c r="B123" s="11" t="s">
        <v>46</v>
      </c>
      <c r="C123" s="13" t="s">
        <v>474</v>
      </c>
      <c r="D123" s="13" t="s">
        <v>466</v>
      </c>
      <c r="E123" s="11" t="s">
        <v>118</v>
      </c>
      <c r="F123" s="13" t="s">
        <v>58</v>
      </c>
      <c r="G123" s="13" t="s">
        <v>22</v>
      </c>
      <c r="H123" s="13" t="s">
        <v>475</v>
      </c>
      <c r="I123" s="13" t="s">
        <v>247</v>
      </c>
      <c r="J123" s="13" t="s">
        <v>51</v>
      </c>
      <c r="K123" s="13" t="s">
        <v>124</v>
      </c>
      <c r="L123" s="13" t="s">
        <v>476</v>
      </c>
      <c r="M123" s="13" t="s">
        <v>68</v>
      </c>
      <c r="N123" s="13" t="s">
        <v>25</v>
      </c>
      <c r="O123" s="4" t="str">
        <f>VLOOKUP(ALL_Issues2[[#This Row],[EA Epic Link]],Table466[],2,FALSE)</f>
        <v>Infrastructure Delivery Portfolio</v>
      </c>
      <c r="P123" s="4" t="str">
        <f>_xlfn.XLOOKUP(ALL_Issues2[[#This Row],[Epic Link]], Table35[Other Project Epic Links], Table35[EA Epic Links], ALL_Issues2[[#This Row],[Epic Link]])</f>
        <v>End User Productivity</v>
      </c>
    </row>
    <row r="124" spans="1:16" s="5" customFormat="1" ht="28.5" customHeight="1" x14ac:dyDescent="0.25">
      <c r="A124" s="12" t="s">
        <v>477</v>
      </c>
      <c r="B124" s="11" t="s">
        <v>55</v>
      </c>
      <c r="C124" s="13" t="s">
        <v>478</v>
      </c>
      <c r="D124" s="13" t="s">
        <v>479</v>
      </c>
      <c r="E124" s="11" t="s">
        <v>20</v>
      </c>
      <c r="F124" s="13" t="s">
        <v>21</v>
      </c>
      <c r="G124" s="13" t="s">
        <v>22</v>
      </c>
      <c r="H124" s="13" t="s">
        <v>276</v>
      </c>
      <c r="I124" s="13" t="s">
        <v>480</v>
      </c>
      <c r="J124" s="13" t="s">
        <v>51</v>
      </c>
      <c r="K124" s="13" t="s">
        <v>52</v>
      </c>
      <c r="L124" s="13"/>
      <c r="M124" s="13" t="s">
        <v>25</v>
      </c>
      <c r="N124" s="13" t="s">
        <v>25</v>
      </c>
      <c r="O124" s="4" t="str">
        <f>VLOOKUP(ALL_Issues2[[#This Row],[EA Epic Link]],Table466[],2,FALSE)</f>
        <v>Corporate Delivery Portfolio</v>
      </c>
      <c r="P124" s="4" t="str">
        <f>_xlfn.XLOOKUP(ALL_Issues2[[#This Row],[Epic Link]], Table35[Other Project Epic Links], Table35[EA Epic Links], ALL_Issues2[[#This Row],[Epic Link]])</f>
        <v>Dealer Platform</v>
      </c>
    </row>
    <row r="125" spans="1:16" s="5" customFormat="1" ht="28.5" customHeight="1" x14ac:dyDescent="0.25">
      <c r="A125" s="12" t="s">
        <v>481</v>
      </c>
      <c r="B125" s="11" t="s">
        <v>55</v>
      </c>
      <c r="C125" s="13" t="s">
        <v>482</v>
      </c>
      <c r="D125" s="13" t="s">
        <v>483</v>
      </c>
      <c r="E125" s="11" t="s">
        <v>113</v>
      </c>
      <c r="F125" s="13" t="s">
        <v>58</v>
      </c>
      <c r="G125" s="13" t="s">
        <v>22</v>
      </c>
      <c r="H125" s="13" t="s">
        <v>124</v>
      </c>
      <c r="I125" s="13" t="s">
        <v>392</v>
      </c>
      <c r="J125" s="13" t="s">
        <v>65</v>
      </c>
      <c r="K125" s="13" t="s">
        <v>66</v>
      </c>
      <c r="L125" s="13" t="s">
        <v>95</v>
      </c>
      <c r="M125" s="13" t="s">
        <v>68</v>
      </c>
      <c r="N125" s="13" t="s">
        <v>68</v>
      </c>
      <c r="O125" s="4" t="e">
        <f>VLOOKUP(ALL_Issues2[[#This Row],[EA Epic Link]],Table466[],2,FALSE)</f>
        <v>#N/A</v>
      </c>
      <c r="P125" s="4" t="str">
        <f>_xlfn.XLOOKUP(ALL_Issues2[[#This Row],[Epic Link]], Table35[Other Project Epic Links], Table35[EA Epic Links], ALL_Issues2[[#This Row],[Epic Link]])</f>
        <v>Managed Desktop 2022</v>
      </c>
    </row>
    <row r="126" spans="1:16" s="5" customFormat="1" ht="28.5" customHeight="1" x14ac:dyDescent="0.25">
      <c r="A126" s="12" t="s">
        <v>484</v>
      </c>
      <c r="B126" s="11" t="s">
        <v>46</v>
      </c>
      <c r="C126" s="13" t="s">
        <v>485</v>
      </c>
      <c r="D126" s="13" t="s">
        <v>486</v>
      </c>
      <c r="E126" s="11" t="s">
        <v>186</v>
      </c>
      <c r="F126" s="13" t="s">
        <v>58</v>
      </c>
      <c r="G126" s="13" t="s">
        <v>22</v>
      </c>
      <c r="H126" s="13" t="s">
        <v>281</v>
      </c>
      <c r="I126" s="13" t="s">
        <v>282</v>
      </c>
      <c r="J126" s="13" t="s">
        <v>51</v>
      </c>
      <c r="K126" s="13" t="s">
        <v>23</v>
      </c>
      <c r="L126" s="13"/>
      <c r="M126" s="13" t="s">
        <v>25</v>
      </c>
      <c r="N126" s="13" t="s">
        <v>25</v>
      </c>
      <c r="O126" s="4" t="str">
        <f>VLOOKUP(ALL_Issues2[[#This Row],[EA Epic Link]],Table466[],2,FALSE)</f>
        <v>Corporate Delivery Portfolio</v>
      </c>
      <c r="P126" s="4" t="str">
        <f>_xlfn.XLOOKUP(ALL_Issues2[[#This Row],[Epic Link]], Table35[Other Project Epic Links], Table35[EA Epic Links], ALL_Issues2[[#This Row],[Epic Link]])</f>
        <v>Human Capital Management Platform</v>
      </c>
    </row>
    <row r="127" spans="1:16" s="5" customFormat="1" ht="28.5" customHeight="1" x14ac:dyDescent="0.25">
      <c r="A127" s="12" t="s">
        <v>487</v>
      </c>
      <c r="B127" s="11" t="s">
        <v>46</v>
      </c>
      <c r="C127" s="13" t="s">
        <v>488</v>
      </c>
      <c r="D127" s="13" t="s">
        <v>489</v>
      </c>
      <c r="E127" s="11" t="s">
        <v>20</v>
      </c>
      <c r="F127" s="13" t="s">
        <v>21</v>
      </c>
      <c r="G127" s="13" t="s">
        <v>22</v>
      </c>
      <c r="H127" s="13" t="s">
        <v>124</v>
      </c>
      <c r="I127" s="13" t="s">
        <v>202</v>
      </c>
      <c r="J127" s="13" t="s">
        <v>160</v>
      </c>
      <c r="K127" s="13" t="s">
        <v>73</v>
      </c>
      <c r="L127" s="13"/>
      <c r="M127" s="13" t="s">
        <v>25</v>
      </c>
      <c r="N127" s="13" t="s">
        <v>25</v>
      </c>
      <c r="O127" s="4" t="str">
        <f>VLOOKUP(ALL_Issues2[[#This Row],[EA Epic Link]],Table466[],2,FALSE)</f>
        <v>Security Delivery Portfolio</v>
      </c>
      <c r="P127" s="4" t="str">
        <f>_xlfn.XLOOKUP(ALL_Issues2[[#This Row],[Epic Link]], Table35[Other Project Epic Links], Table35[EA Epic Links], ALL_Issues2[[#This Row],[Epic Link]])</f>
        <v>Identity and Access</v>
      </c>
    </row>
    <row r="128" spans="1:16" s="5" customFormat="1" ht="28.5" customHeight="1" x14ac:dyDescent="0.25">
      <c r="A128" s="12" t="s">
        <v>490</v>
      </c>
      <c r="B128" s="11" t="s">
        <v>55</v>
      </c>
      <c r="C128" s="13" t="s">
        <v>491</v>
      </c>
      <c r="D128" s="13" t="s">
        <v>492</v>
      </c>
      <c r="E128" s="11" t="s">
        <v>20</v>
      </c>
      <c r="F128" s="13" t="s">
        <v>21</v>
      </c>
      <c r="G128" s="13" t="s">
        <v>22</v>
      </c>
      <c r="H128" s="13" t="s">
        <v>124</v>
      </c>
      <c r="I128" s="13" t="s">
        <v>247</v>
      </c>
      <c r="J128" s="13" t="s">
        <v>65</v>
      </c>
      <c r="K128" s="13" t="s">
        <v>73</v>
      </c>
      <c r="L128" s="13" t="s">
        <v>476</v>
      </c>
      <c r="M128" s="13" t="s">
        <v>25</v>
      </c>
      <c r="N128" s="13" t="s">
        <v>25</v>
      </c>
      <c r="O128" s="4" t="str">
        <f>VLOOKUP(ALL_Issues2[[#This Row],[EA Epic Link]],Table466[],2,FALSE)</f>
        <v>Infrastructure Delivery Portfolio</v>
      </c>
      <c r="P128" s="4" t="str">
        <f>_xlfn.XLOOKUP(ALL_Issues2[[#This Row],[Epic Link]], Table35[Other Project Epic Links], Table35[EA Epic Links], ALL_Issues2[[#This Row],[Epic Link]])</f>
        <v>End User Productivity</v>
      </c>
    </row>
    <row r="129" spans="1:16" s="5" customFormat="1" ht="28.5" customHeight="1" x14ac:dyDescent="0.25">
      <c r="A129" s="12" t="s">
        <v>493</v>
      </c>
      <c r="B129" s="11" t="s">
        <v>55</v>
      </c>
      <c r="C129" s="13" t="s">
        <v>494</v>
      </c>
      <c r="D129" s="13" t="s">
        <v>208</v>
      </c>
      <c r="E129" s="11" t="s">
        <v>251</v>
      </c>
      <c r="F129" s="13" t="s">
        <v>58</v>
      </c>
      <c r="G129" s="13" t="s">
        <v>22</v>
      </c>
      <c r="H129" s="13" t="s">
        <v>49</v>
      </c>
      <c r="I129" s="13" t="s">
        <v>351</v>
      </c>
      <c r="J129" s="13" t="s">
        <v>94</v>
      </c>
      <c r="K129" s="13" t="s">
        <v>52</v>
      </c>
      <c r="L129" s="13"/>
      <c r="M129" s="13" t="s">
        <v>25</v>
      </c>
      <c r="N129" s="13" t="s">
        <v>25</v>
      </c>
      <c r="O129" s="4" t="e">
        <f>VLOOKUP(ALL_Issues2[[#This Row],[EA Epic Link]],Table466[],2,FALSE)</f>
        <v>#N/A</v>
      </c>
      <c r="P129" s="4" t="str">
        <f>_xlfn.XLOOKUP(ALL_Issues2[[#This Row],[Epic Link]], Table35[Other Project Epic Links], Table35[EA Epic Links], ALL_Issues2[[#This Row],[Epic Link]])</f>
        <v>Contact Centre 2022</v>
      </c>
    </row>
    <row r="130" spans="1:16" s="5" customFormat="1" ht="28.5" customHeight="1" x14ac:dyDescent="0.25">
      <c r="A130" s="12" t="s">
        <v>495</v>
      </c>
      <c r="B130" s="11" t="s">
        <v>46</v>
      </c>
      <c r="C130" s="13" t="s">
        <v>496</v>
      </c>
      <c r="D130" s="13" t="s">
        <v>497</v>
      </c>
      <c r="E130" s="11" t="s">
        <v>186</v>
      </c>
      <c r="F130" s="13" t="s">
        <v>21</v>
      </c>
      <c r="G130" s="13" t="s">
        <v>246</v>
      </c>
      <c r="H130" s="13" t="s">
        <v>365</v>
      </c>
      <c r="I130" s="13" t="s">
        <v>498</v>
      </c>
      <c r="J130" s="13" t="s">
        <v>101</v>
      </c>
      <c r="K130" s="13" t="s">
        <v>23</v>
      </c>
      <c r="L130" s="13" t="s">
        <v>67</v>
      </c>
      <c r="M130" s="13" t="s">
        <v>68</v>
      </c>
      <c r="N130" s="13" t="s">
        <v>25</v>
      </c>
      <c r="O130" s="4" t="str">
        <f>VLOOKUP(ALL_Issues2[[#This Row],[EA Epic Link]],Table466[],2,FALSE)</f>
        <v>Data and Integration Delivery Portfolio</v>
      </c>
      <c r="P130" s="4" t="str">
        <f>_xlfn.XLOOKUP(ALL_Issues2[[#This Row],[Epic Link]], Table35[Other Project Epic Links], Table35[EA Epic Links], ALL_Issues2[[#This Row],[Epic Link]])</f>
        <v>Enterprise Data Platform</v>
      </c>
    </row>
    <row r="131" spans="1:16" s="5" customFormat="1" ht="28.5" customHeight="1" x14ac:dyDescent="0.25">
      <c r="A131" s="12" t="s">
        <v>499</v>
      </c>
      <c r="B131" s="11" t="s">
        <v>17</v>
      </c>
      <c r="C131" s="13" t="s">
        <v>500</v>
      </c>
      <c r="D131" s="13" t="s">
        <v>501</v>
      </c>
      <c r="E131" s="11" t="s">
        <v>20</v>
      </c>
      <c r="F131" s="13" t="s">
        <v>21</v>
      </c>
      <c r="G131" s="13" t="s">
        <v>22</v>
      </c>
      <c r="H131" s="13" t="s">
        <v>99</v>
      </c>
      <c r="I131" s="13" t="s">
        <v>100</v>
      </c>
      <c r="J131" s="13" t="s">
        <v>51</v>
      </c>
      <c r="K131" s="13" t="s">
        <v>52</v>
      </c>
      <c r="L131" s="13"/>
      <c r="M131" s="13" t="s">
        <v>25</v>
      </c>
      <c r="N131" s="13" t="s">
        <v>25</v>
      </c>
      <c r="O131" s="4" t="str">
        <f>VLOOKUP(ALL_Issues2[[#This Row],[EA Epic Link]],Table466[],2,FALSE)</f>
        <v>Digital Delivery Portfolio</v>
      </c>
      <c r="P131" s="4" t="str">
        <f>_xlfn.XLOOKUP(ALL_Issues2[[#This Row],[Epic Link]], Table35[Other Project Epic Links], Table35[EA Epic Links], ALL_Issues2[[#This Row],[Epic Link]])</f>
        <v>MI Distribution and Marketing</v>
      </c>
    </row>
    <row r="132" spans="1:16" s="5" customFormat="1" ht="28.5" customHeight="1" x14ac:dyDescent="0.25">
      <c r="A132" s="12" t="s">
        <v>502</v>
      </c>
      <c r="B132" s="11" t="s">
        <v>46</v>
      </c>
      <c r="C132" s="13" t="s">
        <v>503</v>
      </c>
      <c r="D132" s="13" t="s">
        <v>504</v>
      </c>
      <c r="E132" s="11" t="s">
        <v>251</v>
      </c>
      <c r="F132" s="13" t="s">
        <v>58</v>
      </c>
      <c r="G132" s="13" t="s">
        <v>193</v>
      </c>
      <c r="H132" s="13" t="s">
        <v>66</v>
      </c>
      <c r="I132" s="13" t="s">
        <v>505</v>
      </c>
      <c r="J132" s="13" t="s">
        <v>65</v>
      </c>
      <c r="K132" s="13" t="s">
        <v>124</v>
      </c>
      <c r="L132" s="13" t="s">
        <v>476</v>
      </c>
      <c r="M132" s="13" t="s">
        <v>25</v>
      </c>
      <c r="N132" s="13" t="s">
        <v>25</v>
      </c>
      <c r="O132" s="4" t="e">
        <f>VLOOKUP(ALL_Issues2[[#This Row],[EA Epic Link]],Table466[],2,FALSE)</f>
        <v>#N/A</v>
      </c>
      <c r="P132" s="4" t="str">
        <f>_xlfn.XLOOKUP(ALL_Issues2[[#This Row],[Epic Link]], Table35[Other Project Epic Links], Table35[EA Epic Links], ALL_Issues2[[#This Row],[Epic Link]])</f>
        <v>MS Teams 2022</v>
      </c>
    </row>
    <row r="133" spans="1:16" s="5" customFormat="1" ht="28.5" customHeight="1" x14ac:dyDescent="0.25">
      <c r="A133" s="12" t="s">
        <v>506</v>
      </c>
      <c r="B133" s="11" t="s">
        <v>55</v>
      </c>
      <c r="C133" s="13" t="s">
        <v>507</v>
      </c>
      <c r="D133" s="13" t="s">
        <v>508</v>
      </c>
      <c r="E133" s="11" t="s">
        <v>113</v>
      </c>
      <c r="F133" s="13" t="s">
        <v>58</v>
      </c>
      <c r="G133" s="13" t="s">
        <v>22</v>
      </c>
      <c r="H133" s="13" t="s">
        <v>281</v>
      </c>
      <c r="I133" s="13" t="s">
        <v>282</v>
      </c>
      <c r="J133" s="13" t="s">
        <v>51</v>
      </c>
      <c r="K133" s="13" t="s">
        <v>23</v>
      </c>
      <c r="L133" s="13"/>
      <c r="M133" s="13" t="s">
        <v>25</v>
      </c>
      <c r="N133" s="13" t="s">
        <v>25</v>
      </c>
      <c r="O133" s="4" t="str">
        <f>VLOOKUP(ALL_Issues2[[#This Row],[EA Epic Link]],Table466[],2,FALSE)</f>
        <v>Corporate Delivery Portfolio</v>
      </c>
      <c r="P133" s="4" t="str">
        <f>_xlfn.XLOOKUP(ALL_Issues2[[#This Row],[Epic Link]], Table35[Other Project Epic Links], Table35[EA Epic Links], ALL_Issues2[[#This Row],[Epic Link]])</f>
        <v>Human Capital Management Platform</v>
      </c>
    </row>
    <row r="134" spans="1:16" s="5" customFormat="1" ht="28.5" customHeight="1" x14ac:dyDescent="0.25">
      <c r="A134" s="12" t="s">
        <v>509</v>
      </c>
      <c r="B134" s="11" t="s">
        <v>17</v>
      </c>
      <c r="C134" s="13" t="s">
        <v>510</v>
      </c>
      <c r="D134" s="13" t="s">
        <v>511</v>
      </c>
      <c r="E134" s="11" t="s">
        <v>113</v>
      </c>
      <c r="F134" s="13" t="s">
        <v>21</v>
      </c>
      <c r="G134" s="13" t="s">
        <v>22</v>
      </c>
      <c r="H134" s="13" t="s">
        <v>281</v>
      </c>
      <c r="I134" s="13" t="s">
        <v>135</v>
      </c>
      <c r="J134" s="13" t="s">
        <v>51</v>
      </c>
      <c r="K134" s="13" t="s">
        <v>23</v>
      </c>
      <c r="L134" s="13" t="s">
        <v>95</v>
      </c>
      <c r="M134" s="13" t="s">
        <v>25</v>
      </c>
      <c r="N134" s="13" t="s">
        <v>25</v>
      </c>
      <c r="O134" s="4" t="str">
        <f>VLOOKUP(ALL_Issues2[[#This Row],[EA Epic Link]],Table466[],2,FALSE)</f>
        <v>Corporate Delivery Portfolio</v>
      </c>
      <c r="P134" s="4" t="str">
        <f>_xlfn.XLOOKUP(ALL_Issues2[[#This Row],[Epic Link]], Table35[Other Project Epic Links], Table35[EA Epic Links], ALL_Issues2[[#This Row],[Epic Link]])</f>
        <v>Facilities and Real Estate</v>
      </c>
    </row>
    <row r="135" spans="1:16" s="5" customFormat="1" ht="28.5" customHeight="1" x14ac:dyDescent="0.25">
      <c r="A135" s="12" t="s">
        <v>512</v>
      </c>
      <c r="B135" s="11" t="s">
        <v>55</v>
      </c>
      <c r="C135" s="13" t="s">
        <v>513</v>
      </c>
      <c r="D135" s="13" t="s">
        <v>513</v>
      </c>
      <c r="E135" s="11" t="s">
        <v>251</v>
      </c>
      <c r="F135" s="13" t="s">
        <v>21</v>
      </c>
      <c r="G135" s="13" t="s">
        <v>22</v>
      </c>
      <c r="H135" s="13" t="s">
        <v>124</v>
      </c>
      <c r="I135" s="13" t="s">
        <v>505</v>
      </c>
      <c r="J135" s="13" t="s">
        <v>65</v>
      </c>
      <c r="K135" s="13" t="s">
        <v>73</v>
      </c>
      <c r="L135" s="13"/>
      <c r="M135" s="13" t="s">
        <v>68</v>
      </c>
      <c r="N135" s="13" t="s">
        <v>25</v>
      </c>
      <c r="O135" s="4" t="e">
        <f>VLOOKUP(ALL_Issues2[[#This Row],[EA Epic Link]],Table466[],2,FALSE)</f>
        <v>#N/A</v>
      </c>
      <c r="P135" s="4" t="str">
        <f>_xlfn.XLOOKUP(ALL_Issues2[[#This Row],[Epic Link]], Table35[Other Project Epic Links], Table35[EA Epic Links], ALL_Issues2[[#This Row],[Epic Link]])</f>
        <v>MS Teams 2022</v>
      </c>
    </row>
    <row r="136" spans="1:16" s="5" customFormat="1" ht="28.5" customHeight="1" x14ac:dyDescent="0.25">
      <c r="A136" s="12" t="s">
        <v>514</v>
      </c>
      <c r="B136" s="11" t="s">
        <v>55</v>
      </c>
      <c r="C136" s="13" t="s">
        <v>515</v>
      </c>
      <c r="D136" s="13" t="s">
        <v>516</v>
      </c>
      <c r="E136" s="11" t="s">
        <v>186</v>
      </c>
      <c r="F136" s="13" t="s">
        <v>21</v>
      </c>
      <c r="G136" s="13" t="s">
        <v>22</v>
      </c>
      <c r="H136" s="13" t="s">
        <v>281</v>
      </c>
      <c r="I136" s="13" t="s">
        <v>282</v>
      </c>
      <c r="J136" s="13" t="s">
        <v>51</v>
      </c>
      <c r="K136" s="13" t="s">
        <v>23</v>
      </c>
      <c r="L136" s="13"/>
      <c r="M136" s="13" t="s">
        <v>25</v>
      </c>
      <c r="N136" s="13" t="s">
        <v>25</v>
      </c>
      <c r="O136" s="4" t="str">
        <f>VLOOKUP(ALL_Issues2[[#This Row],[EA Epic Link]],Table466[],2,FALSE)</f>
        <v>Corporate Delivery Portfolio</v>
      </c>
      <c r="P136" s="4" t="str">
        <f>_xlfn.XLOOKUP(ALL_Issues2[[#This Row],[Epic Link]], Table35[Other Project Epic Links], Table35[EA Epic Links], ALL_Issues2[[#This Row],[Epic Link]])</f>
        <v>Human Capital Management Platform</v>
      </c>
    </row>
    <row r="137" spans="1:16" s="5" customFormat="1" ht="28.5" customHeight="1" x14ac:dyDescent="0.25">
      <c r="A137" s="12" t="s">
        <v>517</v>
      </c>
      <c r="B137" s="11" t="s">
        <v>17</v>
      </c>
      <c r="C137" s="13" t="s">
        <v>518</v>
      </c>
      <c r="D137" s="13" t="s">
        <v>519</v>
      </c>
      <c r="E137" s="11" t="s">
        <v>113</v>
      </c>
      <c r="F137" s="13" t="s">
        <v>58</v>
      </c>
      <c r="G137" s="13" t="s">
        <v>22</v>
      </c>
      <c r="H137" s="13" t="s">
        <v>241</v>
      </c>
      <c r="I137" s="13" t="s">
        <v>135</v>
      </c>
      <c r="J137" s="13" t="s">
        <v>51</v>
      </c>
      <c r="K137" s="13" t="s">
        <v>23</v>
      </c>
      <c r="L137" s="13" t="s">
        <v>136</v>
      </c>
      <c r="M137" s="13" t="s">
        <v>25</v>
      </c>
      <c r="N137" s="13" t="s">
        <v>25</v>
      </c>
      <c r="O137" s="4" t="str">
        <f>VLOOKUP(ALL_Issues2[[#This Row],[EA Epic Link]],Table466[],2,FALSE)</f>
        <v>Corporate Delivery Portfolio</v>
      </c>
      <c r="P137" s="4" t="str">
        <f>_xlfn.XLOOKUP(ALL_Issues2[[#This Row],[Epic Link]], Table35[Other Project Epic Links], Table35[EA Epic Links], ALL_Issues2[[#This Row],[Epic Link]])</f>
        <v>Facilities and Real Estate</v>
      </c>
    </row>
    <row r="138" spans="1:16" s="5" customFormat="1" ht="28.5" customHeight="1" x14ac:dyDescent="0.25">
      <c r="A138" s="12" t="s">
        <v>520</v>
      </c>
      <c r="B138" s="11" t="s">
        <v>55</v>
      </c>
      <c r="C138" s="13" t="s">
        <v>521</v>
      </c>
      <c r="D138" s="13" t="s">
        <v>522</v>
      </c>
      <c r="E138" s="11" t="s">
        <v>113</v>
      </c>
      <c r="F138" s="13" t="s">
        <v>58</v>
      </c>
      <c r="G138" s="13" t="s">
        <v>22</v>
      </c>
      <c r="H138" s="13" t="s">
        <v>241</v>
      </c>
      <c r="I138" s="13" t="s">
        <v>135</v>
      </c>
      <c r="J138" s="13" t="s">
        <v>101</v>
      </c>
      <c r="K138" s="13" t="s">
        <v>23</v>
      </c>
      <c r="L138" s="13"/>
      <c r="M138" s="13" t="s">
        <v>25</v>
      </c>
      <c r="N138" s="13" t="s">
        <v>25</v>
      </c>
      <c r="O138" s="4" t="str">
        <f>VLOOKUP(ALL_Issues2[[#This Row],[EA Epic Link]],Table466[],2,FALSE)</f>
        <v>Corporate Delivery Portfolio</v>
      </c>
      <c r="P138" s="4" t="str">
        <f>_xlfn.XLOOKUP(ALL_Issues2[[#This Row],[Epic Link]], Table35[Other Project Epic Links], Table35[EA Epic Links], ALL_Issues2[[#This Row],[Epic Link]])</f>
        <v>Facilities and Real Estate</v>
      </c>
    </row>
    <row r="139" spans="1:16" s="5" customFormat="1" ht="28.5" customHeight="1" x14ac:dyDescent="0.25">
      <c r="A139" s="12" t="s">
        <v>523</v>
      </c>
      <c r="B139" s="11" t="s">
        <v>55</v>
      </c>
      <c r="C139" s="13" t="s">
        <v>524</v>
      </c>
      <c r="D139" s="13" t="s">
        <v>525</v>
      </c>
      <c r="E139" s="11" t="s">
        <v>113</v>
      </c>
      <c r="F139" s="13" t="s">
        <v>58</v>
      </c>
      <c r="G139" s="13" t="s">
        <v>22</v>
      </c>
      <c r="H139" s="13" t="s">
        <v>241</v>
      </c>
      <c r="I139" s="13" t="s">
        <v>135</v>
      </c>
      <c r="J139" s="13" t="s">
        <v>51</v>
      </c>
      <c r="K139" s="13" t="s">
        <v>23</v>
      </c>
      <c r="L139" s="13"/>
      <c r="M139" s="13" t="s">
        <v>25</v>
      </c>
      <c r="N139" s="13" t="s">
        <v>25</v>
      </c>
      <c r="O139" s="4" t="str">
        <f>VLOOKUP(ALL_Issues2[[#This Row],[EA Epic Link]],Table466[],2,FALSE)</f>
        <v>Corporate Delivery Portfolio</v>
      </c>
      <c r="P139" s="4" t="str">
        <f>_xlfn.XLOOKUP(ALL_Issues2[[#This Row],[Epic Link]], Table35[Other Project Epic Links], Table35[EA Epic Links], ALL_Issues2[[#This Row],[Epic Link]])</f>
        <v>Facilities and Real Estate</v>
      </c>
    </row>
    <row r="140" spans="1:16" s="5" customFormat="1" ht="28.5" customHeight="1" x14ac:dyDescent="0.25">
      <c r="A140" s="12" t="s">
        <v>526</v>
      </c>
      <c r="B140" s="11" t="s">
        <v>46</v>
      </c>
      <c r="C140" s="13" t="s">
        <v>527</v>
      </c>
      <c r="D140" s="13" t="s">
        <v>528</v>
      </c>
      <c r="E140" s="11" t="s">
        <v>186</v>
      </c>
      <c r="F140" s="13" t="s">
        <v>21</v>
      </c>
      <c r="G140" s="13" t="s">
        <v>22</v>
      </c>
      <c r="H140" s="13" t="s">
        <v>281</v>
      </c>
      <c r="I140" s="13" t="s">
        <v>141</v>
      </c>
      <c r="J140" s="13" t="s">
        <v>51</v>
      </c>
      <c r="K140" s="13" t="s">
        <v>23</v>
      </c>
      <c r="L140" s="13"/>
      <c r="M140" s="13" t="s">
        <v>25</v>
      </c>
      <c r="N140" s="13" t="s">
        <v>25</v>
      </c>
      <c r="O140" s="4" t="str">
        <f>VLOOKUP(ALL_Issues2[[#This Row],[EA Epic Link]],Table466[],2,FALSE)</f>
        <v>Corporate Delivery Portfolio</v>
      </c>
      <c r="P140" s="4" t="str">
        <f>_xlfn.XLOOKUP(ALL_Issues2[[#This Row],[Epic Link]], Table35[Other Project Epic Links], Table35[EA Epic Links], ALL_Issues2[[#This Row],[Epic Link]])</f>
        <v>Corporate Finance</v>
      </c>
    </row>
    <row r="141" spans="1:16" s="5" customFormat="1" ht="28.5" customHeight="1" x14ac:dyDescent="0.25">
      <c r="A141" s="12" t="s">
        <v>529</v>
      </c>
      <c r="B141" s="11" t="s">
        <v>46</v>
      </c>
      <c r="C141" s="13" t="s">
        <v>530</v>
      </c>
      <c r="D141" s="13" t="s">
        <v>531</v>
      </c>
      <c r="E141" s="11" t="s">
        <v>186</v>
      </c>
      <c r="F141" s="13" t="s">
        <v>21</v>
      </c>
      <c r="G141" s="13" t="s">
        <v>22</v>
      </c>
      <c r="H141" s="13" t="s">
        <v>355</v>
      </c>
      <c r="I141" s="13" t="s">
        <v>282</v>
      </c>
      <c r="J141" s="13" t="s">
        <v>51</v>
      </c>
      <c r="K141" s="13" t="s">
        <v>23</v>
      </c>
      <c r="L141" s="13"/>
      <c r="M141" s="13" t="s">
        <v>25</v>
      </c>
      <c r="N141" s="13" t="s">
        <v>25</v>
      </c>
      <c r="O141" s="4" t="str">
        <f>VLOOKUP(ALL_Issues2[[#This Row],[EA Epic Link]],Table466[],2,FALSE)</f>
        <v>Corporate Delivery Portfolio</v>
      </c>
      <c r="P141" s="4" t="str">
        <f>_xlfn.XLOOKUP(ALL_Issues2[[#This Row],[Epic Link]], Table35[Other Project Epic Links], Table35[EA Epic Links], ALL_Issues2[[#This Row],[Epic Link]])</f>
        <v>Human Capital Management Platform</v>
      </c>
    </row>
    <row r="142" spans="1:16" s="5" customFormat="1" ht="28.5" customHeight="1" x14ac:dyDescent="0.25">
      <c r="A142" s="12" t="s">
        <v>532</v>
      </c>
      <c r="B142" s="11" t="s">
        <v>17</v>
      </c>
      <c r="C142" s="13" t="s">
        <v>533</v>
      </c>
      <c r="D142" s="13" t="s">
        <v>534</v>
      </c>
      <c r="E142" s="11" t="s">
        <v>186</v>
      </c>
      <c r="F142" s="13" t="s">
        <v>21</v>
      </c>
      <c r="G142" s="13" t="s">
        <v>22</v>
      </c>
      <c r="H142" s="13" t="s">
        <v>281</v>
      </c>
      <c r="I142" s="13" t="s">
        <v>282</v>
      </c>
      <c r="J142" s="13" t="s">
        <v>51</v>
      </c>
      <c r="K142" s="13" t="s">
        <v>23</v>
      </c>
      <c r="L142" s="13" t="s">
        <v>136</v>
      </c>
      <c r="M142" s="13" t="s">
        <v>25</v>
      </c>
      <c r="N142" s="13" t="s">
        <v>25</v>
      </c>
      <c r="O142" s="4" t="str">
        <f>VLOOKUP(ALL_Issues2[[#This Row],[EA Epic Link]],Table466[],2,FALSE)</f>
        <v>Corporate Delivery Portfolio</v>
      </c>
      <c r="P142" s="4" t="str">
        <f>_xlfn.XLOOKUP(ALL_Issues2[[#This Row],[Epic Link]], Table35[Other Project Epic Links], Table35[EA Epic Links], ALL_Issues2[[#This Row],[Epic Link]])</f>
        <v>Human Capital Management Platform</v>
      </c>
    </row>
    <row r="143" spans="1:16" s="5" customFormat="1" ht="28.5" customHeight="1" x14ac:dyDescent="0.25">
      <c r="A143" s="12" t="s">
        <v>535</v>
      </c>
      <c r="B143" s="11" t="s">
        <v>46</v>
      </c>
      <c r="C143" s="13" t="s">
        <v>536</v>
      </c>
      <c r="D143" s="13" t="s">
        <v>537</v>
      </c>
      <c r="E143" s="11" t="s">
        <v>186</v>
      </c>
      <c r="F143" s="13" t="s">
        <v>58</v>
      </c>
      <c r="G143" s="13" t="s">
        <v>22</v>
      </c>
      <c r="H143" s="13" t="s">
        <v>281</v>
      </c>
      <c r="I143" s="13" t="s">
        <v>141</v>
      </c>
      <c r="J143" s="13" t="s">
        <v>51</v>
      </c>
      <c r="K143" s="13" t="s">
        <v>23</v>
      </c>
      <c r="L143" s="13"/>
      <c r="M143" s="13" t="s">
        <v>25</v>
      </c>
      <c r="N143" s="13" t="s">
        <v>25</v>
      </c>
      <c r="O143" s="4" t="str">
        <f>VLOOKUP(ALL_Issues2[[#This Row],[EA Epic Link]],Table466[],2,FALSE)</f>
        <v>Corporate Delivery Portfolio</v>
      </c>
      <c r="P143" s="4" t="str">
        <f>_xlfn.XLOOKUP(ALL_Issues2[[#This Row],[Epic Link]], Table35[Other Project Epic Links], Table35[EA Epic Links], ALL_Issues2[[#This Row],[Epic Link]])</f>
        <v>Corporate Finance</v>
      </c>
    </row>
    <row r="144" spans="1:16" s="5" customFormat="1" ht="28.5" customHeight="1" x14ac:dyDescent="0.25">
      <c r="A144" s="12" t="s">
        <v>538</v>
      </c>
      <c r="B144" s="11" t="s">
        <v>55</v>
      </c>
      <c r="C144" s="13" t="s">
        <v>539</v>
      </c>
      <c r="D144" s="13" t="s">
        <v>540</v>
      </c>
      <c r="E144" s="11" t="s">
        <v>113</v>
      </c>
      <c r="F144" s="13" t="s">
        <v>58</v>
      </c>
      <c r="G144" s="13" t="s">
        <v>22</v>
      </c>
      <c r="H144" s="14" t="s">
        <v>59</v>
      </c>
      <c r="I144" s="13" t="s">
        <v>72</v>
      </c>
      <c r="J144" s="13" t="s">
        <v>51</v>
      </c>
      <c r="K144" s="13" t="s">
        <v>23</v>
      </c>
      <c r="L144" s="13"/>
      <c r="M144" s="13" t="s">
        <v>25</v>
      </c>
      <c r="N144" s="13" t="s">
        <v>25</v>
      </c>
      <c r="O144" s="4" t="str">
        <f>VLOOKUP(ALL_Issues2[[#This Row],[EA Epic Link]],Table466[],2,FALSE)</f>
        <v>Corporate Delivery Portfolio</v>
      </c>
      <c r="P144" s="4" t="str">
        <f>_xlfn.XLOOKUP(ALL_Issues2[[#This Row],[Epic Link]], Table35[Other Project Epic Links], Table35[EA Epic Links], ALL_Issues2[[#This Row],[Epic Link]])</f>
        <v>Investment Management</v>
      </c>
    </row>
    <row r="145" spans="1:16" s="5" customFormat="1" ht="28.5" customHeight="1" x14ac:dyDescent="0.25">
      <c r="A145" s="12" t="s">
        <v>541</v>
      </c>
      <c r="B145" s="11" t="s">
        <v>55</v>
      </c>
      <c r="C145" s="13" t="s">
        <v>542</v>
      </c>
      <c r="D145" s="13" t="s">
        <v>543</v>
      </c>
      <c r="E145" s="11" t="s">
        <v>251</v>
      </c>
      <c r="F145" s="13" t="s">
        <v>22</v>
      </c>
      <c r="G145" s="13" t="s">
        <v>22</v>
      </c>
      <c r="H145" s="13" t="s">
        <v>281</v>
      </c>
      <c r="I145" s="13" t="s">
        <v>382</v>
      </c>
      <c r="J145" s="13" t="s">
        <v>51</v>
      </c>
      <c r="K145" s="13" t="s">
        <v>23</v>
      </c>
      <c r="L145" s="13"/>
      <c r="M145" s="13" t="s">
        <v>25</v>
      </c>
      <c r="N145" s="13" t="s">
        <v>25</v>
      </c>
      <c r="O145" s="4" t="e">
        <f>VLOOKUP(ALL_Issues2[[#This Row],[EA Epic Link]],Table466[],2,FALSE)</f>
        <v>#N/A</v>
      </c>
      <c r="P145" s="4" t="str">
        <f>_xlfn.XLOOKUP(ALL_Issues2[[#This Row],[Epic Link]], Table35[Other Project Epic Links], Table35[EA Epic Links], ALL_Issues2[[#This Row],[Epic Link]])</f>
        <v>Trust Accounting 2022</v>
      </c>
    </row>
    <row r="146" spans="1:16" s="5" customFormat="1" ht="28.5" customHeight="1" x14ac:dyDescent="0.25">
      <c r="A146" s="12" t="s">
        <v>544</v>
      </c>
      <c r="B146" s="11" t="s">
        <v>55</v>
      </c>
      <c r="C146" s="13" t="s">
        <v>545</v>
      </c>
      <c r="D146" s="13" t="s">
        <v>546</v>
      </c>
      <c r="E146" s="11" t="s">
        <v>251</v>
      </c>
      <c r="F146" s="13" t="s">
        <v>58</v>
      </c>
      <c r="G146" s="13" t="s">
        <v>22</v>
      </c>
      <c r="H146" s="13" t="s">
        <v>281</v>
      </c>
      <c r="I146" s="13" t="s">
        <v>382</v>
      </c>
      <c r="J146" s="13" t="s">
        <v>51</v>
      </c>
      <c r="K146" s="13" t="s">
        <v>23</v>
      </c>
      <c r="L146" s="13"/>
      <c r="M146" s="13" t="s">
        <v>25</v>
      </c>
      <c r="N146" s="13" t="s">
        <v>25</v>
      </c>
      <c r="O146" s="4" t="e">
        <f>VLOOKUP(ALL_Issues2[[#This Row],[EA Epic Link]],Table466[],2,FALSE)</f>
        <v>#N/A</v>
      </c>
      <c r="P146" s="4" t="str">
        <f>_xlfn.XLOOKUP(ALL_Issues2[[#This Row],[Epic Link]], Table35[Other Project Epic Links], Table35[EA Epic Links], ALL_Issues2[[#This Row],[Epic Link]])</f>
        <v>Trust Accounting 2022</v>
      </c>
    </row>
    <row r="147" spans="1:16" s="5" customFormat="1" ht="28.5" customHeight="1" x14ac:dyDescent="0.25">
      <c r="A147" s="12" t="s">
        <v>547</v>
      </c>
      <c r="B147" s="11" t="s">
        <v>17</v>
      </c>
      <c r="C147" s="13" t="s">
        <v>548</v>
      </c>
      <c r="D147" s="13" t="s">
        <v>549</v>
      </c>
      <c r="E147" s="11" t="s">
        <v>20</v>
      </c>
      <c r="F147" s="13" t="s">
        <v>58</v>
      </c>
      <c r="G147" s="13" t="s">
        <v>22</v>
      </c>
      <c r="H147" s="14" t="s">
        <v>59</v>
      </c>
      <c r="I147" s="13" t="s">
        <v>480</v>
      </c>
      <c r="J147" s="13" t="s">
        <v>51</v>
      </c>
      <c r="K147" s="13" t="s">
        <v>52</v>
      </c>
      <c r="L147" s="13"/>
      <c r="M147" s="13" t="s">
        <v>25</v>
      </c>
      <c r="N147" s="13" t="s">
        <v>25</v>
      </c>
      <c r="O147" s="4" t="str">
        <f>VLOOKUP(ALL_Issues2[[#This Row],[EA Epic Link]],Table466[],2,FALSE)</f>
        <v>Corporate Delivery Portfolio</v>
      </c>
      <c r="P147" s="4" t="str">
        <f>_xlfn.XLOOKUP(ALL_Issues2[[#This Row],[Epic Link]], Table35[Other Project Epic Links], Table35[EA Epic Links], ALL_Issues2[[#This Row],[Epic Link]])</f>
        <v>Dealer Platform</v>
      </c>
    </row>
    <row r="148" spans="1:16" s="5" customFormat="1" ht="28.5" customHeight="1" x14ac:dyDescent="0.25">
      <c r="A148" s="12" t="s">
        <v>550</v>
      </c>
      <c r="B148" s="11" t="s">
        <v>46</v>
      </c>
      <c r="C148" s="13" t="s">
        <v>551</v>
      </c>
      <c r="D148" s="13" t="s">
        <v>552</v>
      </c>
      <c r="E148" s="11" t="s">
        <v>251</v>
      </c>
      <c r="F148" s="13" t="s">
        <v>21</v>
      </c>
      <c r="G148" s="13" t="s">
        <v>246</v>
      </c>
      <c r="H148" s="13" t="s">
        <v>23</v>
      </c>
      <c r="I148" s="13" t="s">
        <v>480</v>
      </c>
      <c r="J148" s="13" t="s">
        <v>51</v>
      </c>
      <c r="K148" s="13" t="s">
        <v>52</v>
      </c>
      <c r="L148" s="13"/>
      <c r="M148" s="13" t="s">
        <v>25</v>
      </c>
      <c r="N148" s="13" t="s">
        <v>25</v>
      </c>
      <c r="O148" s="4" t="str">
        <f>VLOOKUP(ALL_Issues2[[#This Row],[EA Epic Link]],Table466[],2,FALSE)</f>
        <v>Corporate Delivery Portfolio</v>
      </c>
      <c r="P148" s="4" t="str">
        <f>_xlfn.XLOOKUP(ALL_Issues2[[#This Row],[Epic Link]], Table35[Other Project Epic Links], Table35[EA Epic Links], ALL_Issues2[[#This Row],[Epic Link]])</f>
        <v>Dealer Platform</v>
      </c>
    </row>
    <row r="149" spans="1:16" s="5" customFormat="1" ht="28.5" customHeight="1" x14ac:dyDescent="0.25">
      <c r="A149" s="12" t="s">
        <v>553</v>
      </c>
      <c r="B149" s="11" t="s">
        <v>55</v>
      </c>
      <c r="C149" s="13" t="s">
        <v>554</v>
      </c>
      <c r="D149" s="13" t="s">
        <v>555</v>
      </c>
      <c r="E149" s="11" t="s">
        <v>48</v>
      </c>
      <c r="F149" s="13" t="s">
        <v>58</v>
      </c>
      <c r="G149" s="13" t="s">
        <v>22</v>
      </c>
      <c r="H149" s="13" t="s">
        <v>212</v>
      </c>
      <c r="I149" s="13" t="s">
        <v>50</v>
      </c>
      <c r="J149" s="13" t="s">
        <v>94</v>
      </c>
      <c r="K149" s="13" t="s">
        <v>73</v>
      </c>
      <c r="L149" s="13" t="s">
        <v>476</v>
      </c>
      <c r="M149" s="13" t="s">
        <v>68</v>
      </c>
      <c r="N149" s="13" t="s">
        <v>68</v>
      </c>
      <c r="O149" s="4" t="str">
        <f>VLOOKUP(ALL_Issues2[[#This Row],[EA Epic Link]],Table466[],2,FALSE)</f>
        <v>Corporate Delivery Portfolio</v>
      </c>
      <c r="P149" s="4" t="str">
        <f>_xlfn.XLOOKUP(ALL_Issues2[[#This Row],[Epic Link]], Table35[Other Project Epic Links], Table35[EA Epic Links], ALL_Issues2[[#This Row],[Epic Link]])</f>
        <v>Client Services Operations</v>
      </c>
    </row>
    <row r="150" spans="1:16" s="5" customFormat="1" ht="28.5" customHeight="1" x14ac:dyDescent="0.25">
      <c r="A150" s="12" t="s">
        <v>556</v>
      </c>
      <c r="B150" s="11" t="s">
        <v>46</v>
      </c>
      <c r="C150" s="13" t="s">
        <v>557</v>
      </c>
      <c r="D150" s="13" t="s">
        <v>558</v>
      </c>
      <c r="E150" s="11" t="s">
        <v>251</v>
      </c>
      <c r="F150" s="13" t="s">
        <v>21</v>
      </c>
      <c r="G150" s="13" t="s">
        <v>22</v>
      </c>
      <c r="H150" s="13" t="s">
        <v>66</v>
      </c>
      <c r="I150" s="13" t="s">
        <v>123</v>
      </c>
      <c r="J150" s="13" t="s">
        <v>108</v>
      </c>
      <c r="K150" s="13" t="s">
        <v>156</v>
      </c>
      <c r="L150" s="13" t="s">
        <v>476</v>
      </c>
      <c r="M150" s="13" t="s">
        <v>68</v>
      </c>
      <c r="N150" s="13" t="s">
        <v>25</v>
      </c>
      <c r="O150" s="4" t="str">
        <f>VLOOKUP(ALL_Issues2[[#This Row],[EA Epic Link]],Table466[],2,FALSE)</f>
        <v>Infrastructure Delivery Portfolio</v>
      </c>
      <c r="P150" s="4" t="str">
        <f>_xlfn.XLOOKUP(ALL_Issues2[[#This Row],[Epic Link]], Table35[Other Project Epic Links], Table35[EA Epic Links], ALL_Issues2[[#This Row],[Epic Link]])</f>
        <v>Core DevOps Services</v>
      </c>
    </row>
    <row r="151" spans="1:16" s="5" customFormat="1" ht="28.5" customHeight="1" x14ac:dyDescent="0.25">
      <c r="A151" s="12" t="s">
        <v>559</v>
      </c>
      <c r="B151" s="11" t="s">
        <v>17</v>
      </c>
      <c r="C151" s="13" t="s">
        <v>560</v>
      </c>
      <c r="D151" s="13" t="s">
        <v>561</v>
      </c>
      <c r="E151" s="11" t="s">
        <v>48</v>
      </c>
      <c r="F151" s="13" t="s">
        <v>21</v>
      </c>
      <c r="G151" s="13" t="s">
        <v>22</v>
      </c>
      <c r="H151" s="13" t="s">
        <v>201</v>
      </c>
      <c r="I151" s="13" t="s">
        <v>202</v>
      </c>
      <c r="J151" s="13" t="s">
        <v>160</v>
      </c>
      <c r="K151" s="13" t="s">
        <v>124</v>
      </c>
      <c r="L151" s="13"/>
      <c r="M151" s="13" t="s">
        <v>68</v>
      </c>
      <c r="N151" s="13" t="s">
        <v>68</v>
      </c>
      <c r="O151" s="4" t="str">
        <f>VLOOKUP(ALL_Issues2[[#This Row],[EA Epic Link]],Table466[],2,FALSE)</f>
        <v>Security Delivery Portfolio</v>
      </c>
      <c r="P151" s="4" t="str">
        <f>_xlfn.XLOOKUP(ALL_Issues2[[#This Row],[Epic Link]], Table35[Other Project Epic Links], Table35[EA Epic Links], ALL_Issues2[[#This Row],[Epic Link]])</f>
        <v>Identity and Access</v>
      </c>
    </row>
    <row r="152" spans="1:16" s="5" customFormat="1" ht="28.5" customHeight="1" x14ac:dyDescent="0.25">
      <c r="A152" s="12" t="s">
        <v>562</v>
      </c>
      <c r="B152" s="11" t="s">
        <v>46</v>
      </c>
      <c r="C152" s="13" t="s">
        <v>563</v>
      </c>
      <c r="D152" s="13" t="s">
        <v>564</v>
      </c>
      <c r="E152" s="11" t="s">
        <v>186</v>
      </c>
      <c r="F152" s="13" t="s">
        <v>21</v>
      </c>
      <c r="G152" s="13" t="s">
        <v>246</v>
      </c>
      <c r="H152" s="13" t="s">
        <v>43</v>
      </c>
      <c r="I152" s="13" t="s">
        <v>72</v>
      </c>
      <c r="J152" s="13" t="s">
        <v>51</v>
      </c>
      <c r="K152" s="13" t="s">
        <v>23</v>
      </c>
      <c r="L152" s="13" t="s">
        <v>74</v>
      </c>
      <c r="M152" s="13" t="s">
        <v>25</v>
      </c>
      <c r="N152" s="13" t="s">
        <v>25</v>
      </c>
      <c r="O152" s="4" t="str">
        <f>VLOOKUP(ALL_Issues2[[#This Row],[EA Epic Link]],Table466[],2,FALSE)</f>
        <v>Corporate Delivery Portfolio</v>
      </c>
      <c r="P152" s="4" t="str">
        <f>_xlfn.XLOOKUP(ALL_Issues2[[#This Row],[Epic Link]], Table35[Other Project Epic Links], Table35[EA Epic Links], ALL_Issues2[[#This Row],[Epic Link]])</f>
        <v>Investment Management</v>
      </c>
    </row>
    <row r="153" spans="1:16" s="5" customFormat="1" ht="28.5" customHeight="1" x14ac:dyDescent="0.25">
      <c r="A153" s="12" t="s">
        <v>565</v>
      </c>
      <c r="B153" s="11" t="s">
        <v>86</v>
      </c>
      <c r="C153" s="13" t="s">
        <v>566</v>
      </c>
      <c r="D153" s="13" t="s">
        <v>567</v>
      </c>
      <c r="E153" s="11" t="s">
        <v>48</v>
      </c>
      <c r="F153" s="13" t="s">
        <v>21</v>
      </c>
      <c r="G153" s="13" t="s">
        <v>22</v>
      </c>
      <c r="H153" s="13" t="s">
        <v>225</v>
      </c>
      <c r="I153" s="13" t="s">
        <v>224</v>
      </c>
      <c r="J153" s="13" t="s">
        <v>101</v>
      </c>
      <c r="K153" s="13" t="s">
        <v>52</v>
      </c>
      <c r="L153" s="13" t="s">
        <v>226</v>
      </c>
      <c r="M153" s="13" t="s">
        <v>25</v>
      </c>
      <c r="N153" s="13" t="s">
        <v>25</v>
      </c>
      <c r="O153" s="4" t="str">
        <f>VLOOKUP(ALL_Issues2[[#This Row],[EA Epic Link]],Table466[],2,FALSE)</f>
        <v>Data and Integration Delivery Portfolio</v>
      </c>
      <c r="P153" s="4" t="str">
        <f>_xlfn.XLOOKUP(ALL_Issues2[[#This Row],[Epic Link]], Table35[Other Project Epic Links], Table35[EA Epic Links], ALL_Issues2[[#This Row],[Epic Link]])</f>
        <v>Core API and Integration Platform</v>
      </c>
    </row>
    <row r="154" spans="1:16" s="5" customFormat="1" ht="28.5" customHeight="1" x14ac:dyDescent="0.25">
      <c r="A154" s="12" t="s">
        <v>568</v>
      </c>
      <c r="B154" s="11" t="s">
        <v>46</v>
      </c>
      <c r="C154" s="13" t="s">
        <v>569</v>
      </c>
      <c r="D154" s="13" t="s">
        <v>570</v>
      </c>
      <c r="E154" s="11" t="s">
        <v>251</v>
      </c>
      <c r="F154" s="13" t="s">
        <v>58</v>
      </c>
      <c r="G154" s="13" t="s">
        <v>22</v>
      </c>
      <c r="H154" s="13" t="s">
        <v>281</v>
      </c>
      <c r="I154" s="13" t="s">
        <v>252</v>
      </c>
      <c r="J154" s="13" t="s">
        <v>51</v>
      </c>
      <c r="K154" s="13" t="s">
        <v>23</v>
      </c>
      <c r="L154" s="13"/>
      <c r="M154" s="13" t="s">
        <v>25</v>
      </c>
      <c r="N154" s="13" t="s">
        <v>25</v>
      </c>
      <c r="O154" s="4" t="str">
        <f>VLOOKUP(ALL_Issues2[[#This Row],[EA Epic Link]],Table466[],2,FALSE)</f>
        <v>Corporate Delivery Portfolio</v>
      </c>
      <c r="P154" s="4" t="str">
        <f>_xlfn.XLOOKUP(ALL_Issues2[[#This Row],[Epic Link]], Table35[Other Project Epic Links], Table35[EA Epic Links], ALL_Issues2[[#This Row],[Epic Link]])</f>
        <v>Governance, Risk and Compliance</v>
      </c>
    </row>
    <row r="155" spans="1:16" s="5" customFormat="1" ht="28.5" customHeight="1" x14ac:dyDescent="0.25">
      <c r="A155" s="12" t="s">
        <v>571</v>
      </c>
      <c r="B155" s="11" t="s">
        <v>17</v>
      </c>
      <c r="C155" s="13" t="s">
        <v>572</v>
      </c>
      <c r="D155" s="13" t="s">
        <v>573</v>
      </c>
      <c r="E155" s="11" t="s">
        <v>48</v>
      </c>
      <c r="F155" s="13" t="s">
        <v>21</v>
      </c>
      <c r="G155" s="13" t="s">
        <v>22</v>
      </c>
      <c r="H155" s="13" t="s">
        <v>172</v>
      </c>
      <c r="I155" s="13" t="s">
        <v>574</v>
      </c>
      <c r="J155" s="13" t="s">
        <v>51</v>
      </c>
      <c r="K155" s="13" t="s">
        <v>23</v>
      </c>
      <c r="L155" s="13" t="s">
        <v>95</v>
      </c>
      <c r="M155" s="13" t="s">
        <v>25</v>
      </c>
      <c r="N155" s="13" t="s">
        <v>25</v>
      </c>
      <c r="O155" s="4" t="str">
        <f>VLOOKUP(ALL_Issues2[[#This Row],[EA Epic Link]],Table466[],2,FALSE)</f>
        <v>Corporate Delivery Portfolio</v>
      </c>
      <c r="P155" s="4" t="str">
        <f>_xlfn.XLOOKUP(ALL_Issues2[[#This Row],[Epic Link]], Table35[Other Project Epic Links], Table35[EA Epic Links], ALL_Issues2[[#This Row],[Epic Link]])</f>
        <v>Consultant Admin</v>
      </c>
    </row>
    <row r="156" spans="1:16" s="5" customFormat="1" ht="28.5" customHeight="1" x14ac:dyDescent="0.25">
      <c r="A156" s="12" t="s">
        <v>575</v>
      </c>
      <c r="B156" s="11" t="s">
        <v>17</v>
      </c>
      <c r="C156" s="13" t="s">
        <v>576</v>
      </c>
      <c r="D156" s="13" t="s">
        <v>577</v>
      </c>
      <c r="E156" s="11" t="s">
        <v>48</v>
      </c>
      <c r="F156" s="13" t="s">
        <v>21</v>
      </c>
      <c r="G156" s="13" t="s">
        <v>22</v>
      </c>
      <c r="H156" s="13" t="s">
        <v>323</v>
      </c>
      <c r="I156" s="13" t="s">
        <v>247</v>
      </c>
      <c r="J156" s="13" t="s">
        <v>65</v>
      </c>
      <c r="K156" s="13" t="s">
        <v>212</v>
      </c>
      <c r="L156" s="13" t="s">
        <v>476</v>
      </c>
      <c r="M156" s="13" t="s">
        <v>68</v>
      </c>
      <c r="N156" s="13" t="s">
        <v>25</v>
      </c>
      <c r="O156" s="4" t="str">
        <f>VLOOKUP(ALL_Issues2[[#This Row],[EA Epic Link]],Table466[],2,FALSE)</f>
        <v>Infrastructure Delivery Portfolio</v>
      </c>
      <c r="P156" s="4" t="str">
        <f>_xlfn.XLOOKUP(ALL_Issues2[[#This Row],[Epic Link]], Table35[Other Project Epic Links], Table35[EA Epic Links], ALL_Issues2[[#This Row],[Epic Link]])</f>
        <v>End User Productivity</v>
      </c>
    </row>
    <row r="157" spans="1:16" s="5" customFormat="1" ht="28.5" customHeight="1" x14ac:dyDescent="0.25">
      <c r="A157" s="12" t="s">
        <v>578</v>
      </c>
      <c r="B157" s="11" t="s">
        <v>55</v>
      </c>
      <c r="C157" s="13" t="s">
        <v>579</v>
      </c>
      <c r="D157" s="13" t="s">
        <v>580</v>
      </c>
      <c r="E157" s="11" t="s">
        <v>118</v>
      </c>
      <c r="F157" s="13" t="s">
        <v>58</v>
      </c>
      <c r="G157" s="13" t="s">
        <v>22</v>
      </c>
      <c r="H157" s="13" t="s">
        <v>124</v>
      </c>
      <c r="I157" s="13" t="s">
        <v>64</v>
      </c>
      <c r="J157" s="13" t="s">
        <v>65</v>
      </c>
      <c r="K157" s="13" t="s">
        <v>156</v>
      </c>
      <c r="L157" s="13" t="s">
        <v>67</v>
      </c>
      <c r="M157" s="13" t="s">
        <v>68</v>
      </c>
      <c r="N157" s="13" t="s">
        <v>25</v>
      </c>
      <c r="O157" s="4" t="str">
        <f>VLOOKUP(ALL_Issues2[[#This Row],[EA Epic Link]],Table466[],2,FALSE)</f>
        <v>Infrastructure Delivery Portfolio</v>
      </c>
      <c r="P157" s="4" t="str">
        <f>_xlfn.XLOOKUP(ALL_Issues2[[#This Row],[Epic Link]], Table35[Other Project Epic Links], Table35[EA Epic Links], ALL_Issues2[[#This Row],[Epic Link]])</f>
        <v>End User Device Management</v>
      </c>
    </row>
    <row r="158" spans="1:16" s="5" customFormat="1" ht="28.5" customHeight="1" x14ac:dyDescent="0.25">
      <c r="A158" s="12" t="s">
        <v>581</v>
      </c>
      <c r="B158" s="11" t="s">
        <v>55</v>
      </c>
      <c r="C158" s="13" t="s">
        <v>582</v>
      </c>
      <c r="D158" s="13" t="s">
        <v>583</v>
      </c>
      <c r="E158" s="11" t="s">
        <v>118</v>
      </c>
      <c r="F158" s="13" t="s">
        <v>21</v>
      </c>
      <c r="G158" s="13" t="s">
        <v>22</v>
      </c>
      <c r="H158" s="13" t="s">
        <v>415</v>
      </c>
      <c r="I158" s="13" t="s">
        <v>72</v>
      </c>
      <c r="J158" s="13" t="s">
        <v>146</v>
      </c>
      <c r="K158" s="13" t="s">
        <v>23</v>
      </c>
      <c r="L158" s="13" t="s">
        <v>136</v>
      </c>
      <c r="M158" s="13" t="s">
        <v>25</v>
      </c>
      <c r="N158" s="13" t="s">
        <v>25</v>
      </c>
      <c r="O158" s="4" t="str">
        <f>VLOOKUP(ALL_Issues2[[#This Row],[EA Epic Link]],Table466[],2,FALSE)</f>
        <v>Corporate Delivery Portfolio</v>
      </c>
      <c r="P158" s="4" t="str">
        <f>_xlfn.XLOOKUP(ALL_Issues2[[#This Row],[Epic Link]], Table35[Other Project Epic Links], Table35[EA Epic Links], ALL_Issues2[[#This Row],[Epic Link]])</f>
        <v>Investment Management</v>
      </c>
    </row>
    <row r="159" spans="1:16" s="5" customFormat="1" ht="28.5" customHeight="1" x14ac:dyDescent="0.25">
      <c r="A159" s="12" t="s">
        <v>584</v>
      </c>
      <c r="B159" s="11" t="s">
        <v>46</v>
      </c>
      <c r="C159" s="13" t="s">
        <v>585</v>
      </c>
      <c r="D159" s="13" t="s">
        <v>586</v>
      </c>
      <c r="E159" s="11" t="s">
        <v>20</v>
      </c>
      <c r="F159" s="13" t="s">
        <v>21</v>
      </c>
      <c r="G159" s="13" t="s">
        <v>246</v>
      </c>
      <c r="H159" s="13" t="s">
        <v>63</v>
      </c>
      <c r="I159" s="13" t="s">
        <v>282</v>
      </c>
      <c r="J159" s="13" t="s">
        <v>101</v>
      </c>
      <c r="K159" s="13" t="s">
        <v>23</v>
      </c>
      <c r="L159" s="13"/>
      <c r="M159" s="13" t="s">
        <v>25</v>
      </c>
      <c r="N159" s="13" t="s">
        <v>25</v>
      </c>
      <c r="O159" s="4" t="str">
        <f>VLOOKUP(ALL_Issues2[[#This Row],[EA Epic Link]],Table466[],2,FALSE)</f>
        <v>Corporate Delivery Portfolio</v>
      </c>
      <c r="P159" s="4" t="str">
        <f>_xlfn.XLOOKUP(ALL_Issues2[[#This Row],[Epic Link]], Table35[Other Project Epic Links], Table35[EA Epic Links], ALL_Issues2[[#This Row],[Epic Link]])</f>
        <v>Human Capital Management Platform</v>
      </c>
    </row>
    <row r="160" spans="1:16" s="5" customFormat="1" ht="28.5" customHeight="1" x14ac:dyDescent="0.25">
      <c r="A160" s="12" t="s">
        <v>587</v>
      </c>
      <c r="B160" s="11" t="s">
        <v>55</v>
      </c>
      <c r="C160" s="13" t="s">
        <v>588</v>
      </c>
      <c r="D160" s="13" t="s">
        <v>589</v>
      </c>
      <c r="E160" s="11" t="s">
        <v>48</v>
      </c>
      <c r="F160" s="13" t="s">
        <v>58</v>
      </c>
      <c r="G160" s="13" t="s">
        <v>246</v>
      </c>
      <c r="H160" s="13" t="s">
        <v>212</v>
      </c>
      <c r="I160" s="13" t="s">
        <v>94</v>
      </c>
      <c r="J160" s="13" t="s">
        <v>94</v>
      </c>
      <c r="K160" s="13" t="s">
        <v>73</v>
      </c>
      <c r="L160" s="13" t="s">
        <v>161</v>
      </c>
      <c r="M160" s="13" t="s">
        <v>68</v>
      </c>
      <c r="N160" s="13" t="s">
        <v>68</v>
      </c>
      <c r="O160" s="4" t="str">
        <f>VLOOKUP(ALL_Issues2[[#This Row],[EA Epic Link]],Table466[],2,FALSE)</f>
        <v>Infrastructure Delivery Portfolio</v>
      </c>
      <c r="P160" s="4" t="str">
        <f>_xlfn.XLOOKUP(ALL_Issues2[[#This Row],[Epic Link]], Table35[Other Project Epic Links], Table35[EA Epic Links], ALL_Issues2[[#This Row],[Epic Link]])</f>
        <v>Network</v>
      </c>
    </row>
    <row r="161" spans="1:16" s="5" customFormat="1" ht="28.5" customHeight="1" x14ac:dyDescent="0.25">
      <c r="A161" s="12" t="s">
        <v>590</v>
      </c>
      <c r="B161" s="11" t="s">
        <v>55</v>
      </c>
      <c r="C161" s="13" t="s">
        <v>591</v>
      </c>
      <c r="D161" s="13" t="s">
        <v>592</v>
      </c>
      <c r="E161" s="11" t="s">
        <v>113</v>
      </c>
      <c r="F161" s="13" t="s">
        <v>58</v>
      </c>
      <c r="G161" s="13" t="s">
        <v>22</v>
      </c>
      <c r="H161" s="13" t="s">
        <v>281</v>
      </c>
      <c r="I161" s="13" t="s">
        <v>282</v>
      </c>
      <c r="J161" s="13" t="s">
        <v>51</v>
      </c>
      <c r="K161" s="13" t="s">
        <v>23</v>
      </c>
      <c r="L161" s="13"/>
      <c r="M161" s="13" t="s">
        <v>25</v>
      </c>
      <c r="N161" s="13" t="s">
        <v>25</v>
      </c>
      <c r="O161" s="4" t="str">
        <f>VLOOKUP(ALL_Issues2[[#This Row],[EA Epic Link]],Table466[],2,FALSE)</f>
        <v>Corporate Delivery Portfolio</v>
      </c>
      <c r="P161" s="4" t="str">
        <f>_xlfn.XLOOKUP(ALL_Issues2[[#This Row],[Epic Link]], Table35[Other Project Epic Links], Table35[EA Epic Links], ALL_Issues2[[#This Row],[Epic Link]])</f>
        <v>Human Capital Management Platform</v>
      </c>
    </row>
    <row r="162" spans="1:16" s="5" customFormat="1" ht="28.5" customHeight="1" x14ac:dyDescent="0.25">
      <c r="A162" s="12" t="s">
        <v>593</v>
      </c>
      <c r="B162" s="11" t="s">
        <v>46</v>
      </c>
      <c r="C162" s="13" t="s">
        <v>594</v>
      </c>
      <c r="D162" s="13" t="s">
        <v>595</v>
      </c>
      <c r="E162" s="11" t="s">
        <v>118</v>
      </c>
      <c r="F162" s="13" t="s">
        <v>58</v>
      </c>
      <c r="G162" s="13" t="s">
        <v>22</v>
      </c>
      <c r="H162" s="13" t="s">
        <v>300</v>
      </c>
      <c r="I162" s="13" t="s">
        <v>114</v>
      </c>
      <c r="J162" s="13" t="s">
        <v>160</v>
      </c>
      <c r="K162" s="13" t="s">
        <v>102</v>
      </c>
      <c r="L162" s="13" t="s">
        <v>302</v>
      </c>
      <c r="M162" s="13" t="s">
        <v>25</v>
      </c>
      <c r="N162" s="13" t="s">
        <v>25</v>
      </c>
      <c r="O162" s="4" t="str">
        <f>VLOOKUP(ALL_Issues2[[#This Row],[EA Epic Link]],Table466[],2,FALSE)</f>
        <v>Digital Delivery Portfolio</v>
      </c>
      <c r="P162" s="4" t="str">
        <f>_xlfn.XLOOKUP(ALL_Issues2[[#This Row],[Epic Link]], Table35[Other Project Epic Links], Table35[EA Epic Links], ALL_Issues2[[#This Row],[Epic Link]])</f>
        <v>IG Distribution and Marketing</v>
      </c>
    </row>
    <row r="163" spans="1:16" s="5" customFormat="1" ht="28.5" customHeight="1" x14ac:dyDescent="0.25">
      <c r="A163" s="12" t="s">
        <v>596</v>
      </c>
      <c r="B163" s="11" t="s">
        <v>46</v>
      </c>
      <c r="C163" s="13" t="s">
        <v>597</v>
      </c>
      <c r="D163" s="13" t="s">
        <v>598</v>
      </c>
      <c r="E163" s="11" t="s">
        <v>251</v>
      </c>
      <c r="F163" s="13" t="s">
        <v>58</v>
      </c>
      <c r="G163" s="13" t="s">
        <v>599</v>
      </c>
      <c r="H163" s="13" t="s">
        <v>241</v>
      </c>
      <c r="I163" s="13" t="s">
        <v>194</v>
      </c>
      <c r="J163" s="13" t="s">
        <v>65</v>
      </c>
      <c r="K163" s="13" t="s">
        <v>66</v>
      </c>
      <c r="L163" s="13"/>
      <c r="M163" s="13" t="s">
        <v>25</v>
      </c>
      <c r="N163" s="13" t="s">
        <v>25</v>
      </c>
      <c r="O163" s="4" t="str">
        <f>VLOOKUP(ALL_Issues2[[#This Row],[EA Epic Link]],Table466[],2,FALSE)</f>
        <v>IT Governance</v>
      </c>
      <c r="P163" s="4" t="str">
        <f>_xlfn.XLOOKUP(ALL_Issues2[[#This Row],[Epic Link]], Table35[Other Project Epic Links], Table35[EA Epic Links], ALL_Issues2[[#This Row],[Epic Link]])</f>
        <v>Architecture CoP</v>
      </c>
    </row>
    <row r="164" spans="1:16" s="5" customFormat="1" ht="28.5" customHeight="1" x14ac:dyDescent="0.25">
      <c r="A164" s="12" t="s">
        <v>600</v>
      </c>
      <c r="B164" s="11" t="s">
        <v>55</v>
      </c>
      <c r="C164" s="13" t="s">
        <v>601</v>
      </c>
      <c r="D164" s="13" t="s">
        <v>602</v>
      </c>
      <c r="E164" s="11" t="s">
        <v>186</v>
      </c>
      <c r="F164" s="13" t="s">
        <v>58</v>
      </c>
      <c r="G164" s="13" t="s">
        <v>22</v>
      </c>
      <c r="H164" s="13" t="s">
        <v>300</v>
      </c>
      <c r="I164" s="13" t="s">
        <v>114</v>
      </c>
      <c r="J164" s="13" t="s">
        <v>51</v>
      </c>
      <c r="K164" s="13" t="s">
        <v>52</v>
      </c>
      <c r="L164" s="13"/>
      <c r="M164" s="13" t="s">
        <v>25</v>
      </c>
      <c r="N164" s="13" t="s">
        <v>25</v>
      </c>
      <c r="O164" s="4" t="str">
        <f>VLOOKUP(ALL_Issues2[[#This Row],[EA Epic Link]],Table466[],2,FALSE)</f>
        <v>Digital Delivery Portfolio</v>
      </c>
      <c r="P164" s="4" t="str">
        <f>_xlfn.XLOOKUP(ALL_Issues2[[#This Row],[Epic Link]], Table35[Other Project Epic Links], Table35[EA Epic Links], ALL_Issues2[[#This Row],[Epic Link]])</f>
        <v>IG Distribution and Marketing</v>
      </c>
    </row>
    <row r="165" spans="1:16" s="5" customFormat="1" ht="28.5" customHeight="1" x14ac:dyDescent="0.25">
      <c r="A165" s="12" t="s">
        <v>603</v>
      </c>
      <c r="B165" s="11" t="s">
        <v>17</v>
      </c>
      <c r="C165" s="13" t="s">
        <v>604</v>
      </c>
      <c r="D165" s="13" t="s">
        <v>605</v>
      </c>
      <c r="E165" s="11" t="s">
        <v>20</v>
      </c>
      <c r="F165" s="13" t="s">
        <v>21</v>
      </c>
      <c r="G165" s="13" t="s">
        <v>22</v>
      </c>
      <c r="H165" s="13" t="s">
        <v>124</v>
      </c>
      <c r="I165" s="13" t="s">
        <v>202</v>
      </c>
      <c r="J165" s="13" t="s">
        <v>65</v>
      </c>
      <c r="K165" s="13" t="s">
        <v>73</v>
      </c>
      <c r="L165" s="13"/>
      <c r="M165" s="13" t="s">
        <v>25</v>
      </c>
      <c r="N165" s="13" t="s">
        <v>25</v>
      </c>
      <c r="O165" s="4" t="str">
        <f>VLOOKUP(ALL_Issues2[[#This Row],[EA Epic Link]],Table466[],2,FALSE)</f>
        <v>Security Delivery Portfolio</v>
      </c>
      <c r="P165" s="4" t="str">
        <f>_xlfn.XLOOKUP(ALL_Issues2[[#This Row],[Epic Link]], Table35[Other Project Epic Links], Table35[EA Epic Links], ALL_Issues2[[#This Row],[Epic Link]])</f>
        <v>Identity and Access</v>
      </c>
    </row>
    <row r="166" spans="1:16" s="5" customFormat="1" ht="28.5" customHeight="1" x14ac:dyDescent="0.25">
      <c r="A166" s="12" t="s">
        <v>606</v>
      </c>
      <c r="B166" s="11" t="s">
        <v>46</v>
      </c>
      <c r="C166" s="13" t="s">
        <v>607</v>
      </c>
      <c r="D166" s="13" t="s">
        <v>608</v>
      </c>
      <c r="E166" s="11" t="s">
        <v>48</v>
      </c>
      <c r="F166" s="13" t="s">
        <v>21</v>
      </c>
      <c r="G166" s="13" t="s">
        <v>22</v>
      </c>
      <c r="H166" s="13" t="s">
        <v>323</v>
      </c>
      <c r="I166" s="13" t="s">
        <v>123</v>
      </c>
      <c r="J166" s="13" t="s">
        <v>108</v>
      </c>
      <c r="K166" s="13" t="s">
        <v>212</v>
      </c>
      <c r="L166" s="13" t="s">
        <v>109</v>
      </c>
      <c r="M166" s="13" t="s">
        <v>68</v>
      </c>
      <c r="N166" s="13" t="s">
        <v>25</v>
      </c>
      <c r="O166" s="4" t="str">
        <f>VLOOKUP(ALL_Issues2[[#This Row],[EA Epic Link]],Table466[],2,FALSE)</f>
        <v>Infrastructure Delivery Portfolio</v>
      </c>
      <c r="P166" s="4" t="str">
        <f>_xlfn.XLOOKUP(ALL_Issues2[[#This Row],[Epic Link]], Table35[Other Project Epic Links], Table35[EA Epic Links], ALL_Issues2[[#This Row],[Epic Link]])</f>
        <v>Core DevOps Services</v>
      </c>
    </row>
    <row r="167" spans="1:16" s="5" customFormat="1" ht="28.5" customHeight="1" x14ac:dyDescent="0.25">
      <c r="A167" s="12" t="s">
        <v>609</v>
      </c>
      <c r="B167" s="11" t="s">
        <v>17</v>
      </c>
      <c r="C167" s="13" t="s">
        <v>610</v>
      </c>
      <c r="D167" s="13" t="s">
        <v>611</v>
      </c>
      <c r="E167" s="11" t="s">
        <v>48</v>
      </c>
      <c r="F167" s="13" t="s">
        <v>58</v>
      </c>
      <c r="G167" s="13" t="s">
        <v>22</v>
      </c>
      <c r="H167" s="13" t="s">
        <v>241</v>
      </c>
      <c r="I167" s="13" t="s">
        <v>252</v>
      </c>
      <c r="J167" s="13" t="s">
        <v>51</v>
      </c>
      <c r="K167" s="13" t="s">
        <v>23</v>
      </c>
      <c r="L167" s="13"/>
      <c r="M167" s="13" t="s">
        <v>25</v>
      </c>
      <c r="N167" s="13" t="s">
        <v>25</v>
      </c>
      <c r="O167" s="4" t="str">
        <f>VLOOKUP(ALL_Issues2[[#This Row],[EA Epic Link]],Table466[],2,FALSE)</f>
        <v>Corporate Delivery Portfolio</v>
      </c>
      <c r="P167" s="4" t="str">
        <f>_xlfn.XLOOKUP(ALL_Issues2[[#This Row],[Epic Link]], Table35[Other Project Epic Links], Table35[EA Epic Links], ALL_Issues2[[#This Row],[Epic Link]])</f>
        <v>Governance, Risk and Compliance</v>
      </c>
    </row>
    <row r="168" spans="1:16" s="5" customFormat="1" ht="28.5" customHeight="1" x14ac:dyDescent="0.25">
      <c r="A168" s="12" t="s">
        <v>612</v>
      </c>
      <c r="B168" s="11" t="s">
        <v>55</v>
      </c>
      <c r="C168" s="13" t="s">
        <v>613</v>
      </c>
      <c r="D168" s="13" t="s">
        <v>614</v>
      </c>
      <c r="E168" s="11" t="s">
        <v>118</v>
      </c>
      <c r="F168" s="13" t="s">
        <v>21</v>
      </c>
      <c r="G168" s="13" t="s">
        <v>22</v>
      </c>
      <c r="H168" s="13" t="s">
        <v>276</v>
      </c>
      <c r="I168" s="13" t="s">
        <v>224</v>
      </c>
      <c r="J168" s="13" t="s">
        <v>51</v>
      </c>
      <c r="K168" s="13" t="s">
        <v>23</v>
      </c>
      <c r="L168" s="13"/>
      <c r="M168" s="13" t="s">
        <v>25</v>
      </c>
      <c r="N168" s="13" t="s">
        <v>25</v>
      </c>
      <c r="O168" s="4" t="str">
        <f>VLOOKUP(ALL_Issues2[[#This Row],[EA Epic Link]],Table466[],2,FALSE)</f>
        <v>Data and Integration Delivery Portfolio</v>
      </c>
      <c r="P168" s="4" t="str">
        <f>_xlfn.XLOOKUP(ALL_Issues2[[#This Row],[Epic Link]], Table35[Other Project Epic Links], Table35[EA Epic Links], ALL_Issues2[[#This Row],[Epic Link]])</f>
        <v>Core API and Integration Platform</v>
      </c>
    </row>
    <row r="169" spans="1:16" s="5" customFormat="1" ht="28.5" customHeight="1" x14ac:dyDescent="0.25">
      <c r="A169" s="12" t="s">
        <v>615</v>
      </c>
      <c r="B169" s="11" t="s">
        <v>46</v>
      </c>
      <c r="C169" s="13" t="s">
        <v>616</v>
      </c>
      <c r="D169" s="13" t="s">
        <v>617</v>
      </c>
      <c r="E169" s="11" t="s">
        <v>251</v>
      </c>
      <c r="F169" s="13" t="s">
        <v>21</v>
      </c>
      <c r="G169" s="13" t="s">
        <v>22</v>
      </c>
      <c r="H169" s="13" t="s">
        <v>618</v>
      </c>
      <c r="I169" s="13" t="s">
        <v>619</v>
      </c>
      <c r="J169" s="13" t="s">
        <v>51</v>
      </c>
      <c r="K169" s="13" t="s">
        <v>225</v>
      </c>
      <c r="L169" s="13"/>
      <c r="M169" s="13" t="s">
        <v>68</v>
      </c>
      <c r="N169" s="13"/>
      <c r="O169" s="4" t="str">
        <f>VLOOKUP(ALL_Issues2[[#This Row],[EA Epic Link]],Table466[],2,FALSE)</f>
        <v>Data and Integration Delivery Portfolio</v>
      </c>
      <c r="P169" s="4" t="str">
        <f>_xlfn.XLOOKUP(ALL_Issues2[[#This Row],[Epic Link]], Table35[Other Project Epic Links], Table35[EA Epic Links], ALL_Issues2[[#This Row],[Epic Link]])</f>
        <v>Other Data and Analytics Services</v>
      </c>
    </row>
    <row r="170" spans="1:16" s="5" customFormat="1" ht="28.5" customHeight="1" x14ac:dyDescent="0.25">
      <c r="A170" s="12" t="s">
        <v>620</v>
      </c>
      <c r="B170" s="11" t="s">
        <v>55</v>
      </c>
      <c r="C170" s="13" t="s">
        <v>621</v>
      </c>
      <c r="D170" s="13" t="s">
        <v>622</v>
      </c>
      <c r="E170" s="11" t="s">
        <v>251</v>
      </c>
      <c r="F170" s="13" t="s">
        <v>22</v>
      </c>
      <c r="G170" s="13" t="s">
        <v>22</v>
      </c>
      <c r="H170" s="13" t="s">
        <v>281</v>
      </c>
      <c r="I170" s="13" t="s">
        <v>282</v>
      </c>
      <c r="J170" s="13" t="s">
        <v>51</v>
      </c>
      <c r="K170" s="13" t="s">
        <v>23</v>
      </c>
      <c r="L170" s="13"/>
      <c r="M170" s="13" t="s">
        <v>25</v>
      </c>
      <c r="N170" s="13" t="s">
        <v>25</v>
      </c>
      <c r="O170" s="4" t="str">
        <f>VLOOKUP(ALL_Issues2[[#This Row],[EA Epic Link]],Table466[],2,FALSE)</f>
        <v>Corporate Delivery Portfolio</v>
      </c>
      <c r="P170" s="4" t="str">
        <f>_xlfn.XLOOKUP(ALL_Issues2[[#This Row],[Epic Link]], Table35[Other Project Epic Links], Table35[EA Epic Links], ALL_Issues2[[#This Row],[Epic Link]])</f>
        <v>Human Capital Management Platform</v>
      </c>
    </row>
    <row r="171" spans="1:16" s="5" customFormat="1" ht="28.5" customHeight="1" x14ac:dyDescent="0.25">
      <c r="A171" s="12" t="s">
        <v>623</v>
      </c>
      <c r="B171" s="11" t="s">
        <v>55</v>
      </c>
      <c r="C171" s="13" t="s">
        <v>624</v>
      </c>
      <c r="D171" s="13" t="s">
        <v>625</v>
      </c>
      <c r="E171" s="11" t="s">
        <v>251</v>
      </c>
      <c r="F171" s="13" t="s">
        <v>58</v>
      </c>
      <c r="G171" s="13" t="s">
        <v>22</v>
      </c>
      <c r="H171" s="13" t="s">
        <v>281</v>
      </c>
      <c r="I171" s="13" t="s">
        <v>282</v>
      </c>
      <c r="J171" s="13" t="s">
        <v>51</v>
      </c>
      <c r="K171" s="13" t="s">
        <v>23</v>
      </c>
      <c r="L171" s="13"/>
      <c r="M171" s="13" t="s">
        <v>25</v>
      </c>
      <c r="N171" s="13" t="s">
        <v>25</v>
      </c>
      <c r="O171" s="4" t="str">
        <f>VLOOKUP(ALL_Issues2[[#This Row],[EA Epic Link]],Table466[],2,FALSE)</f>
        <v>Corporate Delivery Portfolio</v>
      </c>
      <c r="P171" s="4" t="str">
        <f>_xlfn.XLOOKUP(ALL_Issues2[[#This Row],[Epic Link]], Table35[Other Project Epic Links], Table35[EA Epic Links], ALL_Issues2[[#This Row],[Epic Link]])</f>
        <v>Human Capital Management Platform</v>
      </c>
    </row>
    <row r="172" spans="1:16" s="5" customFormat="1" ht="28.5" customHeight="1" x14ac:dyDescent="0.25">
      <c r="A172" s="12" t="s">
        <v>626</v>
      </c>
      <c r="B172" s="11" t="s">
        <v>46</v>
      </c>
      <c r="C172" s="13" t="s">
        <v>627</v>
      </c>
      <c r="D172" s="13" t="s">
        <v>628</v>
      </c>
      <c r="E172" s="11" t="s">
        <v>118</v>
      </c>
      <c r="F172" s="13" t="s">
        <v>58</v>
      </c>
      <c r="G172" s="13" t="s">
        <v>22</v>
      </c>
      <c r="H172" s="13" t="s">
        <v>281</v>
      </c>
      <c r="I172" s="13" t="s">
        <v>135</v>
      </c>
      <c r="J172" s="13" t="s">
        <v>51</v>
      </c>
      <c r="K172" s="13" t="s">
        <v>23</v>
      </c>
      <c r="L172" s="13"/>
      <c r="M172" s="13" t="s">
        <v>25</v>
      </c>
      <c r="N172" s="13" t="s">
        <v>25</v>
      </c>
      <c r="O172" s="4" t="str">
        <f>VLOOKUP(ALL_Issues2[[#This Row],[EA Epic Link]],Table466[],2,FALSE)</f>
        <v>Corporate Delivery Portfolio</v>
      </c>
      <c r="P172" s="4" t="str">
        <f>_xlfn.XLOOKUP(ALL_Issues2[[#This Row],[Epic Link]], Table35[Other Project Epic Links], Table35[EA Epic Links], ALL_Issues2[[#This Row],[Epic Link]])</f>
        <v>Facilities and Real Estate</v>
      </c>
    </row>
    <row r="173" spans="1:16" s="5" customFormat="1" ht="28.5" customHeight="1" x14ac:dyDescent="0.25">
      <c r="A173" s="12" t="s">
        <v>629</v>
      </c>
      <c r="B173" s="11" t="s">
        <v>55</v>
      </c>
      <c r="C173" s="13" t="s">
        <v>630</v>
      </c>
      <c r="D173" s="13" t="s">
        <v>631</v>
      </c>
      <c r="E173" s="11" t="s">
        <v>251</v>
      </c>
      <c r="F173" s="13" t="s">
        <v>21</v>
      </c>
      <c r="G173" s="13" t="s">
        <v>22</v>
      </c>
      <c r="H173" s="13" t="s">
        <v>281</v>
      </c>
      <c r="I173" s="13" t="s">
        <v>282</v>
      </c>
      <c r="J173" s="13" t="s">
        <v>51</v>
      </c>
      <c r="K173" s="13" t="s">
        <v>23</v>
      </c>
      <c r="L173" s="13"/>
      <c r="M173" s="13" t="s">
        <v>25</v>
      </c>
      <c r="N173" s="13" t="s">
        <v>25</v>
      </c>
      <c r="O173" s="4" t="str">
        <f>VLOOKUP(ALL_Issues2[[#This Row],[EA Epic Link]],Table466[],2,FALSE)</f>
        <v>Corporate Delivery Portfolio</v>
      </c>
      <c r="P173" s="4" t="str">
        <f>_xlfn.XLOOKUP(ALL_Issues2[[#This Row],[Epic Link]], Table35[Other Project Epic Links], Table35[EA Epic Links], ALL_Issues2[[#This Row],[Epic Link]])</f>
        <v>Human Capital Management Platform</v>
      </c>
    </row>
    <row r="174" spans="1:16" s="5" customFormat="1" ht="28.5" customHeight="1" x14ac:dyDescent="0.25">
      <c r="A174" s="12" t="s">
        <v>632</v>
      </c>
      <c r="B174" s="11" t="s">
        <v>17</v>
      </c>
      <c r="C174" s="13" t="s">
        <v>633</v>
      </c>
      <c r="D174" s="13" t="s">
        <v>634</v>
      </c>
      <c r="E174" s="11" t="s">
        <v>48</v>
      </c>
      <c r="F174" s="13" t="s">
        <v>21</v>
      </c>
      <c r="G174" s="13" t="s">
        <v>22</v>
      </c>
      <c r="H174" s="13" t="s">
        <v>225</v>
      </c>
      <c r="I174" s="13" t="s">
        <v>420</v>
      </c>
      <c r="J174" s="13" t="s">
        <v>65</v>
      </c>
      <c r="K174" s="13" t="s">
        <v>73</v>
      </c>
      <c r="L174" s="13" t="s">
        <v>226</v>
      </c>
      <c r="M174" s="13" t="s">
        <v>68</v>
      </c>
      <c r="N174" s="13" t="s">
        <v>25</v>
      </c>
      <c r="O174" s="4" t="str">
        <f>VLOOKUP(ALL_Issues2[[#This Row],[EA Epic Link]],Table466[],2,FALSE)</f>
        <v>Data and Integration Delivery Portfolio</v>
      </c>
      <c r="P174" s="4" t="str">
        <f>_xlfn.XLOOKUP(ALL_Issues2[[#This Row],[Epic Link]], Table35[Other Project Epic Links], Table35[EA Epic Links], ALL_Issues2[[#This Row],[Epic Link]])</f>
        <v>Robotic Process Automation</v>
      </c>
    </row>
    <row r="175" spans="1:16" s="5" customFormat="1" ht="28.5" customHeight="1" x14ac:dyDescent="0.25">
      <c r="A175" s="12" t="s">
        <v>635</v>
      </c>
      <c r="B175" s="11" t="s">
        <v>17</v>
      </c>
      <c r="C175" s="13" t="s">
        <v>636</v>
      </c>
      <c r="D175" s="13" t="s">
        <v>636</v>
      </c>
      <c r="E175" s="11" t="s">
        <v>186</v>
      </c>
      <c r="F175" s="13" t="s">
        <v>58</v>
      </c>
      <c r="G175" s="13" t="s">
        <v>22</v>
      </c>
      <c r="H175" s="13" t="s">
        <v>618</v>
      </c>
      <c r="I175" s="13" t="s">
        <v>454</v>
      </c>
      <c r="J175" s="13" t="s">
        <v>108</v>
      </c>
      <c r="K175" s="13" t="s">
        <v>52</v>
      </c>
      <c r="L175" s="13"/>
      <c r="M175" s="13" t="s">
        <v>68</v>
      </c>
      <c r="N175" s="13" t="s">
        <v>68</v>
      </c>
      <c r="O175" s="4" t="str">
        <f>VLOOKUP(ALL_Issues2[[#This Row],[EA Epic Link]],Table466[],2,FALSE)</f>
        <v>Corporate Delivery Portfolio</v>
      </c>
      <c r="P175" s="4" t="str">
        <f>_xlfn.XLOOKUP(ALL_Issues2[[#This Row],[Epic Link]], Table35[Other Project Epic Links], Table35[EA Epic Links], ALL_Issues2[[#This Row],[Epic Link]])</f>
        <v>Transfer Agency</v>
      </c>
    </row>
    <row r="176" spans="1:16" s="5" customFormat="1" ht="28.5" customHeight="1" x14ac:dyDescent="0.25">
      <c r="A176" s="12" t="s">
        <v>637</v>
      </c>
      <c r="B176" s="11" t="s">
        <v>55</v>
      </c>
      <c r="C176" s="13" t="s">
        <v>638</v>
      </c>
      <c r="D176" s="13" t="s">
        <v>639</v>
      </c>
      <c r="E176" s="11" t="s">
        <v>251</v>
      </c>
      <c r="F176" s="13" t="s">
        <v>21</v>
      </c>
      <c r="G176" s="13" t="s">
        <v>22</v>
      </c>
      <c r="H176" s="13" t="s">
        <v>281</v>
      </c>
      <c r="I176" s="13" t="s">
        <v>282</v>
      </c>
      <c r="J176" s="13" t="s">
        <v>51</v>
      </c>
      <c r="K176" s="13" t="s">
        <v>23</v>
      </c>
      <c r="L176" s="13" t="s">
        <v>136</v>
      </c>
      <c r="M176" s="13" t="s">
        <v>25</v>
      </c>
      <c r="N176" s="13" t="s">
        <v>25</v>
      </c>
      <c r="O176" s="4" t="str">
        <f>VLOOKUP(ALL_Issues2[[#This Row],[EA Epic Link]],Table466[],2,FALSE)</f>
        <v>Corporate Delivery Portfolio</v>
      </c>
      <c r="P176" s="4" t="str">
        <f>_xlfn.XLOOKUP(ALL_Issues2[[#This Row],[Epic Link]], Table35[Other Project Epic Links], Table35[EA Epic Links], ALL_Issues2[[#This Row],[Epic Link]])</f>
        <v>Human Capital Management Platform</v>
      </c>
    </row>
    <row r="177" spans="1:16" s="5" customFormat="1" ht="28.5" customHeight="1" x14ac:dyDescent="0.25">
      <c r="A177" s="12" t="s">
        <v>640</v>
      </c>
      <c r="B177" s="11" t="s">
        <v>46</v>
      </c>
      <c r="C177" s="13" t="s">
        <v>641</v>
      </c>
      <c r="D177" s="13" t="s">
        <v>642</v>
      </c>
      <c r="E177" s="11" t="s">
        <v>48</v>
      </c>
      <c r="F177" s="13" t="s">
        <v>58</v>
      </c>
      <c r="G177" s="13" t="s">
        <v>22</v>
      </c>
      <c r="H177" s="13" t="s">
        <v>276</v>
      </c>
      <c r="I177" s="13" t="s">
        <v>480</v>
      </c>
      <c r="J177" s="13" t="s">
        <v>51</v>
      </c>
      <c r="K177" s="13" t="s">
        <v>23</v>
      </c>
      <c r="L177" s="13"/>
      <c r="M177" s="13" t="s">
        <v>25</v>
      </c>
      <c r="N177" s="13" t="s">
        <v>25</v>
      </c>
      <c r="O177" s="4" t="str">
        <f>VLOOKUP(ALL_Issues2[[#This Row],[EA Epic Link]],Table466[],2,FALSE)</f>
        <v>Corporate Delivery Portfolio</v>
      </c>
      <c r="P177" s="4" t="str">
        <f>_xlfn.XLOOKUP(ALL_Issues2[[#This Row],[Epic Link]], Table35[Other Project Epic Links], Table35[EA Epic Links], ALL_Issues2[[#This Row],[Epic Link]])</f>
        <v>Dealer Platform</v>
      </c>
    </row>
    <row r="178" spans="1:16" s="5" customFormat="1" ht="28.5" customHeight="1" x14ac:dyDescent="0.25">
      <c r="A178" s="12" t="s">
        <v>643</v>
      </c>
      <c r="B178" s="11" t="s">
        <v>46</v>
      </c>
      <c r="C178" s="13" t="s">
        <v>644</v>
      </c>
      <c r="D178" s="13" t="s">
        <v>645</v>
      </c>
      <c r="E178" s="11" t="s">
        <v>20</v>
      </c>
      <c r="F178" s="13" t="s">
        <v>21</v>
      </c>
      <c r="G178" s="13" t="s">
        <v>22</v>
      </c>
      <c r="H178" s="13" t="s">
        <v>646</v>
      </c>
      <c r="I178" s="13" t="s">
        <v>619</v>
      </c>
      <c r="J178" s="13" t="s">
        <v>101</v>
      </c>
      <c r="K178" s="13" t="s">
        <v>23</v>
      </c>
      <c r="L178" s="13" t="s">
        <v>67</v>
      </c>
      <c r="M178" s="13" t="s">
        <v>68</v>
      </c>
      <c r="N178" s="13" t="s">
        <v>25</v>
      </c>
      <c r="O178" s="4" t="str">
        <f>VLOOKUP(ALL_Issues2[[#This Row],[EA Epic Link]],Table466[],2,FALSE)</f>
        <v>Data and Integration Delivery Portfolio</v>
      </c>
      <c r="P178" s="4" t="str">
        <f>_xlfn.XLOOKUP(ALL_Issues2[[#This Row],[Epic Link]], Table35[Other Project Epic Links], Table35[EA Epic Links], ALL_Issues2[[#This Row],[Epic Link]])</f>
        <v>Other Data and Analytics Services</v>
      </c>
    </row>
    <row r="179" spans="1:16" s="5" customFormat="1" ht="28.5" customHeight="1" x14ac:dyDescent="0.25">
      <c r="A179" s="12" t="s">
        <v>647</v>
      </c>
      <c r="B179" s="11" t="s">
        <v>46</v>
      </c>
      <c r="C179" s="13" t="s">
        <v>648</v>
      </c>
      <c r="D179" s="13" t="s">
        <v>649</v>
      </c>
      <c r="E179" s="11" t="s">
        <v>186</v>
      </c>
      <c r="F179" s="13" t="s">
        <v>21</v>
      </c>
      <c r="G179" s="13" t="s">
        <v>22</v>
      </c>
      <c r="H179" s="13" t="s">
        <v>124</v>
      </c>
      <c r="I179" s="13" t="s">
        <v>123</v>
      </c>
      <c r="J179" s="13" t="s">
        <v>108</v>
      </c>
      <c r="K179" s="13" t="s">
        <v>73</v>
      </c>
      <c r="L179" s="13"/>
      <c r="M179" s="13" t="s">
        <v>68</v>
      </c>
      <c r="N179" s="13" t="s">
        <v>25</v>
      </c>
      <c r="O179" s="4" t="str">
        <f>VLOOKUP(ALL_Issues2[[#This Row],[EA Epic Link]],Table466[],2,FALSE)</f>
        <v>Infrastructure Delivery Portfolio</v>
      </c>
      <c r="P179" s="4" t="str">
        <f>_xlfn.XLOOKUP(ALL_Issues2[[#This Row],[Epic Link]], Table35[Other Project Epic Links], Table35[EA Epic Links], ALL_Issues2[[#This Row],[Epic Link]])</f>
        <v>Core DevOps Services</v>
      </c>
    </row>
    <row r="180" spans="1:16" s="5" customFormat="1" ht="28.5" customHeight="1" x14ac:dyDescent="0.25">
      <c r="A180" s="12" t="s">
        <v>650</v>
      </c>
      <c r="B180" s="11" t="s">
        <v>46</v>
      </c>
      <c r="C180" s="13" t="s">
        <v>651</v>
      </c>
      <c r="D180" s="13" t="s">
        <v>652</v>
      </c>
      <c r="E180" s="11" t="s">
        <v>20</v>
      </c>
      <c r="F180" s="13" t="s">
        <v>21</v>
      </c>
      <c r="G180" s="13" t="s">
        <v>22</v>
      </c>
      <c r="H180" s="13" t="s">
        <v>130</v>
      </c>
      <c r="I180" s="13" t="s">
        <v>94</v>
      </c>
      <c r="J180" s="13" t="s">
        <v>94</v>
      </c>
      <c r="K180" s="13" t="s">
        <v>73</v>
      </c>
      <c r="L180" s="13" t="s">
        <v>476</v>
      </c>
      <c r="M180" s="13" t="s">
        <v>68</v>
      </c>
      <c r="N180" s="13" t="s">
        <v>68</v>
      </c>
      <c r="O180" s="4" t="str">
        <f>VLOOKUP(ALL_Issues2[[#This Row],[EA Epic Link]],Table466[],2,FALSE)</f>
        <v>Infrastructure Delivery Portfolio</v>
      </c>
      <c r="P180" s="4" t="str">
        <f>_xlfn.XLOOKUP(ALL_Issues2[[#This Row],[Epic Link]], Table35[Other Project Epic Links], Table35[EA Epic Links], ALL_Issues2[[#This Row],[Epic Link]])</f>
        <v>Network</v>
      </c>
    </row>
    <row r="181" spans="1:16" s="5" customFormat="1" ht="28.5" customHeight="1" x14ac:dyDescent="0.25">
      <c r="A181" s="12" t="s">
        <v>653</v>
      </c>
      <c r="B181" s="11" t="s">
        <v>46</v>
      </c>
      <c r="C181" s="13" t="s">
        <v>654</v>
      </c>
      <c r="D181" s="13" t="s">
        <v>655</v>
      </c>
      <c r="E181" s="11" t="s">
        <v>251</v>
      </c>
      <c r="F181" s="13" t="s">
        <v>405</v>
      </c>
      <c r="G181" s="13" t="s">
        <v>246</v>
      </c>
      <c r="H181" s="13" t="s">
        <v>66</v>
      </c>
      <c r="I181" s="13" t="s">
        <v>123</v>
      </c>
      <c r="J181" s="13" t="s">
        <v>108</v>
      </c>
      <c r="K181" s="13" t="s">
        <v>212</v>
      </c>
      <c r="L181" s="13" t="s">
        <v>109</v>
      </c>
      <c r="M181" s="13" t="s">
        <v>68</v>
      </c>
      <c r="N181" s="13" t="s">
        <v>25</v>
      </c>
      <c r="O181" s="4" t="str">
        <f>VLOOKUP(ALL_Issues2[[#This Row],[EA Epic Link]],Table466[],2,FALSE)</f>
        <v>Infrastructure Delivery Portfolio</v>
      </c>
      <c r="P181" s="4" t="str">
        <f>_xlfn.XLOOKUP(ALL_Issues2[[#This Row],[Epic Link]], Table35[Other Project Epic Links], Table35[EA Epic Links], ALL_Issues2[[#This Row],[Epic Link]])</f>
        <v>Core DevOps Services</v>
      </c>
    </row>
    <row r="182" spans="1:16" s="5" customFormat="1" ht="28.5" customHeight="1" x14ac:dyDescent="0.25">
      <c r="A182" s="12" t="s">
        <v>656</v>
      </c>
      <c r="B182" s="11" t="s">
        <v>55</v>
      </c>
      <c r="C182" s="13" t="s">
        <v>657</v>
      </c>
      <c r="D182" s="13" t="s">
        <v>658</v>
      </c>
      <c r="E182" s="11" t="s">
        <v>251</v>
      </c>
      <c r="F182" s="13" t="s">
        <v>58</v>
      </c>
      <c r="G182" s="13" t="s">
        <v>22</v>
      </c>
      <c r="H182" s="13" t="s">
        <v>281</v>
      </c>
      <c r="I182" s="13" t="s">
        <v>282</v>
      </c>
      <c r="J182" s="13" t="s">
        <v>65</v>
      </c>
      <c r="K182" s="13" t="s">
        <v>23</v>
      </c>
      <c r="L182" s="13"/>
      <c r="M182" s="13" t="s">
        <v>25</v>
      </c>
      <c r="N182" s="13" t="s">
        <v>25</v>
      </c>
      <c r="O182" s="4" t="str">
        <f>VLOOKUP(ALL_Issues2[[#This Row],[EA Epic Link]],Table466[],2,FALSE)</f>
        <v>Corporate Delivery Portfolio</v>
      </c>
      <c r="P182" s="4" t="str">
        <f>_xlfn.XLOOKUP(ALL_Issues2[[#This Row],[Epic Link]], Table35[Other Project Epic Links], Table35[EA Epic Links], ALL_Issues2[[#This Row],[Epic Link]])</f>
        <v>Human Capital Management Platform</v>
      </c>
    </row>
    <row r="183" spans="1:16" s="5" customFormat="1" ht="28.5" customHeight="1" x14ac:dyDescent="0.25">
      <c r="A183" s="12" t="s">
        <v>659</v>
      </c>
      <c r="B183" s="11" t="s">
        <v>17</v>
      </c>
      <c r="C183" s="13" t="s">
        <v>660</v>
      </c>
      <c r="D183" s="13" t="s">
        <v>661</v>
      </c>
      <c r="E183" s="11" t="s">
        <v>20</v>
      </c>
      <c r="F183" s="13" t="s">
        <v>21</v>
      </c>
      <c r="G183" s="13" t="s">
        <v>22</v>
      </c>
      <c r="H183" s="13" t="s">
        <v>662</v>
      </c>
      <c r="I183" s="13" t="s">
        <v>242</v>
      </c>
      <c r="J183" s="13" t="s">
        <v>51</v>
      </c>
      <c r="K183" s="13" t="s">
        <v>73</v>
      </c>
      <c r="L183" s="13"/>
      <c r="M183" s="13" t="s">
        <v>25</v>
      </c>
      <c r="N183" s="13" t="s">
        <v>25</v>
      </c>
      <c r="O183" s="4" t="str">
        <f>VLOOKUP(ALL_Issues2[[#This Row],[EA Epic Link]],Table466[],2,FALSE)</f>
        <v>Corporate Delivery Portfolio</v>
      </c>
      <c r="P183" s="4" t="str">
        <f>_xlfn.XLOOKUP(ALL_Issues2[[#This Row],[Epic Link]], Table35[Other Project Epic Links], Table35[EA Epic Links], ALL_Issues2[[#This Row],[Epic Link]])</f>
        <v>Business Process Automation</v>
      </c>
    </row>
    <row r="184" spans="1:16" s="5" customFormat="1" ht="28.5" customHeight="1" x14ac:dyDescent="0.25">
      <c r="A184" s="12" t="s">
        <v>663</v>
      </c>
      <c r="B184" s="11" t="s">
        <v>46</v>
      </c>
      <c r="C184" s="13" t="s">
        <v>664</v>
      </c>
      <c r="D184" s="13" t="s">
        <v>665</v>
      </c>
      <c r="E184" s="11" t="s">
        <v>251</v>
      </c>
      <c r="F184" s="13" t="s">
        <v>58</v>
      </c>
      <c r="G184" s="13" t="s">
        <v>22</v>
      </c>
      <c r="H184" s="13" t="s">
        <v>618</v>
      </c>
      <c r="I184" s="13" t="s">
        <v>252</v>
      </c>
      <c r="J184" s="13" t="s">
        <v>51</v>
      </c>
      <c r="K184" s="13"/>
      <c r="L184" s="13"/>
      <c r="M184" s="13" t="s">
        <v>68</v>
      </c>
      <c r="N184" s="13" t="s">
        <v>68</v>
      </c>
      <c r="O184" s="4" t="str">
        <f>VLOOKUP(ALL_Issues2[[#This Row],[EA Epic Link]],Table466[],2,FALSE)</f>
        <v>Corporate Delivery Portfolio</v>
      </c>
      <c r="P184" s="4" t="str">
        <f>_xlfn.XLOOKUP(ALL_Issues2[[#This Row],[Epic Link]], Table35[Other Project Epic Links], Table35[EA Epic Links], ALL_Issues2[[#This Row],[Epic Link]])</f>
        <v>Governance, Risk and Compliance</v>
      </c>
    </row>
    <row r="185" spans="1:16" s="5" customFormat="1" ht="28.5" customHeight="1" x14ac:dyDescent="0.25">
      <c r="A185" s="12" t="s">
        <v>666</v>
      </c>
      <c r="B185" s="11" t="s">
        <v>46</v>
      </c>
      <c r="C185" s="13" t="s">
        <v>667</v>
      </c>
      <c r="D185" s="13" t="s">
        <v>668</v>
      </c>
      <c r="E185" s="11" t="s">
        <v>20</v>
      </c>
      <c r="F185" s="13" t="s">
        <v>58</v>
      </c>
      <c r="G185" s="13" t="s">
        <v>22</v>
      </c>
      <c r="H185" s="13" t="s">
        <v>276</v>
      </c>
      <c r="I185" s="13" t="s">
        <v>480</v>
      </c>
      <c r="J185" s="13" t="s">
        <v>51</v>
      </c>
      <c r="K185" s="13" t="s">
        <v>23</v>
      </c>
      <c r="L185" s="13" t="s">
        <v>136</v>
      </c>
      <c r="M185" s="13" t="s">
        <v>68</v>
      </c>
      <c r="N185" s="13" t="s">
        <v>25</v>
      </c>
      <c r="O185" s="4" t="str">
        <f>VLOOKUP(ALL_Issues2[[#This Row],[EA Epic Link]],Table466[],2,FALSE)</f>
        <v>Corporate Delivery Portfolio</v>
      </c>
      <c r="P185" s="4" t="str">
        <f>_xlfn.XLOOKUP(ALL_Issues2[[#This Row],[Epic Link]], Table35[Other Project Epic Links], Table35[EA Epic Links], ALL_Issues2[[#This Row],[Epic Link]])</f>
        <v>Dealer Platform</v>
      </c>
    </row>
    <row r="186" spans="1:16" s="5" customFormat="1" ht="28.5" customHeight="1" x14ac:dyDescent="0.25">
      <c r="A186" s="12" t="s">
        <v>669</v>
      </c>
      <c r="B186" s="11" t="s">
        <v>46</v>
      </c>
      <c r="C186" s="13" t="s">
        <v>670</v>
      </c>
      <c r="D186" s="13" t="s">
        <v>671</v>
      </c>
      <c r="E186" s="11" t="s">
        <v>20</v>
      </c>
      <c r="F186" s="13" t="s">
        <v>21</v>
      </c>
      <c r="G186" s="13" t="s">
        <v>22</v>
      </c>
      <c r="H186" s="13" t="s">
        <v>43</v>
      </c>
      <c r="I186" s="13" t="s">
        <v>64</v>
      </c>
      <c r="J186" s="13" t="s">
        <v>51</v>
      </c>
      <c r="K186" s="13" t="s">
        <v>124</v>
      </c>
      <c r="L186" s="13"/>
      <c r="M186" s="13" t="s">
        <v>68</v>
      </c>
      <c r="N186" s="13" t="s">
        <v>25</v>
      </c>
      <c r="O186" s="4" t="str">
        <f>VLOOKUP(ALL_Issues2[[#This Row],[EA Epic Link]],Table466[],2,FALSE)</f>
        <v>Infrastructure Delivery Portfolio</v>
      </c>
      <c r="P186" s="4" t="str">
        <f>_xlfn.XLOOKUP(ALL_Issues2[[#This Row],[Epic Link]], Table35[Other Project Epic Links], Table35[EA Epic Links], ALL_Issues2[[#This Row],[Epic Link]])</f>
        <v>End User Device Management</v>
      </c>
    </row>
    <row r="187" spans="1:16" s="5" customFormat="1" ht="28.5" customHeight="1" x14ac:dyDescent="0.25">
      <c r="A187" s="12" t="s">
        <v>672</v>
      </c>
      <c r="B187" s="11" t="s">
        <v>46</v>
      </c>
      <c r="C187" s="13" t="s">
        <v>673</v>
      </c>
      <c r="D187" s="13" t="s">
        <v>674</v>
      </c>
      <c r="E187" s="11" t="s">
        <v>20</v>
      </c>
      <c r="F187" s="13" t="s">
        <v>21</v>
      </c>
      <c r="G187" s="13" t="s">
        <v>22</v>
      </c>
      <c r="H187" s="13" t="s">
        <v>43</v>
      </c>
      <c r="I187" s="13" t="s">
        <v>64</v>
      </c>
      <c r="J187" s="13" t="s">
        <v>65</v>
      </c>
      <c r="K187" s="13" t="s">
        <v>124</v>
      </c>
      <c r="L187" s="13"/>
      <c r="M187" s="13" t="s">
        <v>68</v>
      </c>
      <c r="N187" s="13" t="s">
        <v>25</v>
      </c>
      <c r="O187" s="4" t="str">
        <f>VLOOKUP(ALL_Issues2[[#This Row],[EA Epic Link]],Table466[],2,FALSE)</f>
        <v>Infrastructure Delivery Portfolio</v>
      </c>
      <c r="P187" s="4" t="str">
        <f>_xlfn.XLOOKUP(ALL_Issues2[[#This Row],[Epic Link]], Table35[Other Project Epic Links], Table35[EA Epic Links], ALL_Issues2[[#This Row],[Epic Link]])</f>
        <v>End User Device Management</v>
      </c>
    </row>
    <row r="188" spans="1:16" s="5" customFormat="1" ht="28.5" customHeight="1" x14ac:dyDescent="0.25">
      <c r="A188" s="12" t="s">
        <v>675</v>
      </c>
      <c r="B188" s="11" t="s">
        <v>46</v>
      </c>
      <c r="C188" s="13" t="s">
        <v>676</v>
      </c>
      <c r="D188" s="13" t="s">
        <v>677</v>
      </c>
      <c r="E188" s="11" t="s">
        <v>251</v>
      </c>
      <c r="F188" s="13" t="s">
        <v>21</v>
      </c>
      <c r="G188" s="13" t="s">
        <v>22</v>
      </c>
      <c r="H188" s="13" t="s">
        <v>618</v>
      </c>
      <c r="I188" s="13" t="s">
        <v>454</v>
      </c>
      <c r="J188" s="13" t="s">
        <v>51</v>
      </c>
      <c r="K188" s="13" t="s">
        <v>52</v>
      </c>
      <c r="L188" s="13"/>
      <c r="M188" s="13" t="s">
        <v>68</v>
      </c>
      <c r="N188" s="13" t="s">
        <v>25</v>
      </c>
      <c r="O188" s="4" t="str">
        <f>VLOOKUP(ALL_Issues2[[#This Row],[EA Epic Link]],Table466[],2,FALSE)</f>
        <v>Corporate Delivery Portfolio</v>
      </c>
      <c r="P188" s="4" t="str">
        <f>_xlfn.XLOOKUP(ALL_Issues2[[#This Row],[Epic Link]], Table35[Other Project Epic Links], Table35[EA Epic Links], ALL_Issues2[[#This Row],[Epic Link]])</f>
        <v>Transfer Agency</v>
      </c>
    </row>
    <row r="189" spans="1:16" s="5" customFormat="1" ht="28.5" customHeight="1" x14ac:dyDescent="0.25">
      <c r="A189" s="12" t="s">
        <v>678</v>
      </c>
      <c r="B189" s="11" t="s">
        <v>46</v>
      </c>
      <c r="C189" s="13" t="s">
        <v>679</v>
      </c>
      <c r="D189" s="13" t="s">
        <v>680</v>
      </c>
      <c r="E189" s="11" t="s">
        <v>48</v>
      </c>
      <c r="F189" s="13" t="s">
        <v>21</v>
      </c>
      <c r="G189" s="13" t="s">
        <v>22</v>
      </c>
      <c r="H189" s="13" t="s">
        <v>29</v>
      </c>
      <c r="I189" s="13" t="s">
        <v>72</v>
      </c>
      <c r="J189" s="13" t="s">
        <v>51</v>
      </c>
      <c r="K189" s="13" t="s">
        <v>23</v>
      </c>
      <c r="L189" s="13"/>
      <c r="M189" s="13" t="s">
        <v>68</v>
      </c>
      <c r="N189" s="13" t="s">
        <v>25</v>
      </c>
      <c r="O189" s="4" t="str">
        <f>VLOOKUP(ALL_Issues2[[#This Row],[EA Epic Link]],Table466[],2,FALSE)</f>
        <v>Corporate Delivery Portfolio</v>
      </c>
      <c r="P189" s="4" t="str">
        <f>_xlfn.XLOOKUP(ALL_Issues2[[#This Row],[Epic Link]], Table35[Other Project Epic Links], Table35[EA Epic Links], ALL_Issues2[[#This Row],[Epic Link]])</f>
        <v>Investment Management</v>
      </c>
    </row>
    <row r="190" spans="1:16" s="5" customFormat="1" ht="28.5" customHeight="1" x14ac:dyDescent="0.25">
      <c r="A190" s="12" t="s">
        <v>681</v>
      </c>
      <c r="B190" s="11" t="s">
        <v>46</v>
      </c>
      <c r="C190" s="13" t="s">
        <v>682</v>
      </c>
      <c r="D190" s="13" t="s">
        <v>683</v>
      </c>
      <c r="E190" s="11" t="s">
        <v>48</v>
      </c>
      <c r="F190" s="13" t="s">
        <v>21</v>
      </c>
      <c r="G190" s="13" t="s">
        <v>22</v>
      </c>
      <c r="H190" s="13" t="s">
        <v>102</v>
      </c>
      <c r="I190" s="13" t="s">
        <v>684</v>
      </c>
      <c r="J190" s="13" t="s">
        <v>51</v>
      </c>
      <c r="K190" s="13" t="s">
        <v>52</v>
      </c>
      <c r="L190" s="13"/>
      <c r="M190" s="13" t="s">
        <v>68</v>
      </c>
      <c r="N190" s="13" t="s">
        <v>25</v>
      </c>
      <c r="O190" s="4" t="str">
        <f>VLOOKUP(ALL_Issues2[[#This Row],[EA Epic Link]],Table466[],2,FALSE)</f>
        <v>Digital Delivery Portfolio</v>
      </c>
      <c r="P190" s="4" t="str">
        <f>_xlfn.XLOOKUP(ALL_Issues2[[#This Row],[Epic Link]], Table35[Other Project Epic Links], Table35[EA Epic Links], ALL_Issues2[[#This Row],[Epic Link]])</f>
        <v>Other Applications and Content Delivery Services</v>
      </c>
    </row>
    <row r="191" spans="1:16" s="5" customFormat="1" ht="28.5" customHeight="1" x14ac:dyDescent="0.25">
      <c r="A191" s="12" t="s">
        <v>685</v>
      </c>
      <c r="B191" s="11" t="s">
        <v>46</v>
      </c>
      <c r="C191" s="13" t="s">
        <v>686</v>
      </c>
      <c r="D191" s="13" t="s">
        <v>687</v>
      </c>
      <c r="E191" s="11" t="s">
        <v>20</v>
      </c>
      <c r="F191" s="13" t="s">
        <v>21</v>
      </c>
      <c r="G191" s="13" t="s">
        <v>22</v>
      </c>
      <c r="H191" s="13" t="s">
        <v>102</v>
      </c>
      <c r="I191" s="13" t="s">
        <v>684</v>
      </c>
      <c r="J191" s="13" t="s">
        <v>51</v>
      </c>
      <c r="K191" s="13" t="s">
        <v>52</v>
      </c>
      <c r="L191" s="13"/>
      <c r="M191" s="13" t="s">
        <v>68</v>
      </c>
      <c r="N191" s="13" t="s">
        <v>25</v>
      </c>
      <c r="O191" s="4" t="str">
        <f>VLOOKUP(ALL_Issues2[[#This Row],[EA Epic Link]],Table466[],2,FALSE)</f>
        <v>Digital Delivery Portfolio</v>
      </c>
      <c r="P191" s="4" t="str">
        <f>_xlfn.XLOOKUP(ALL_Issues2[[#This Row],[Epic Link]], Table35[Other Project Epic Links], Table35[EA Epic Links], ALL_Issues2[[#This Row],[Epic Link]])</f>
        <v>Other Applications and Content Delivery Services</v>
      </c>
    </row>
    <row r="192" spans="1:16" s="5" customFormat="1" ht="28.5" customHeight="1" x14ac:dyDescent="0.25">
      <c r="A192" s="12" t="s">
        <v>688</v>
      </c>
      <c r="B192" s="11" t="s">
        <v>46</v>
      </c>
      <c r="C192" s="13" t="s">
        <v>689</v>
      </c>
      <c r="D192" s="13" t="s">
        <v>690</v>
      </c>
      <c r="E192" s="11" t="s">
        <v>48</v>
      </c>
      <c r="F192" s="13" t="s">
        <v>21</v>
      </c>
      <c r="G192" s="13" t="s">
        <v>22</v>
      </c>
      <c r="H192" s="13" t="s">
        <v>241</v>
      </c>
      <c r="I192" s="13" t="s">
        <v>454</v>
      </c>
      <c r="J192" s="13" t="s">
        <v>51</v>
      </c>
      <c r="K192" s="13" t="s">
        <v>52</v>
      </c>
      <c r="L192" s="13"/>
      <c r="M192" s="13" t="s">
        <v>68</v>
      </c>
      <c r="N192" s="13" t="s">
        <v>25</v>
      </c>
      <c r="O192" s="4" t="str">
        <f>VLOOKUP(ALL_Issues2[[#This Row],[EA Epic Link]],Table466[],2,FALSE)</f>
        <v>Corporate Delivery Portfolio</v>
      </c>
      <c r="P192" s="4" t="str">
        <f>_xlfn.XLOOKUP(ALL_Issues2[[#This Row],[Epic Link]], Table35[Other Project Epic Links], Table35[EA Epic Links], ALL_Issues2[[#This Row],[Epic Link]])</f>
        <v>Transfer Agency</v>
      </c>
    </row>
    <row r="193" spans="1:16" s="5" customFormat="1" ht="28.5" customHeight="1" x14ac:dyDescent="0.25">
      <c r="A193" s="12" t="s">
        <v>691</v>
      </c>
      <c r="B193" s="11" t="s">
        <v>46</v>
      </c>
      <c r="C193" s="13" t="s">
        <v>692</v>
      </c>
      <c r="D193" s="13" t="s">
        <v>693</v>
      </c>
      <c r="E193" s="11" t="s">
        <v>48</v>
      </c>
      <c r="F193" s="13" t="s">
        <v>405</v>
      </c>
      <c r="G193" s="13" t="s">
        <v>22</v>
      </c>
      <c r="H193" s="13" t="s">
        <v>124</v>
      </c>
      <c r="I193" s="13" t="s">
        <v>234</v>
      </c>
      <c r="J193" s="13" t="s">
        <v>65</v>
      </c>
      <c r="K193" s="13" t="s">
        <v>73</v>
      </c>
      <c r="L193" s="13" t="s">
        <v>476</v>
      </c>
      <c r="M193" s="13" t="s">
        <v>68</v>
      </c>
      <c r="N193" s="13" t="s">
        <v>68</v>
      </c>
      <c r="O193" s="4" t="str">
        <f>VLOOKUP(ALL_Issues2[[#This Row],[EA Epic Link]],Table466[],2,FALSE)</f>
        <v>Infrastructure Delivery Portfolio</v>
      </c>
      <c r="P193" s="4" t="str">
        <f>_xlfn.XLOOKUP(ALL_Issues2[[#This Row],[Epic Link]], Table35[Other Project Epic Links], Table35[EA Epic Links], ALL_Issues2[[#This Row],[Epic Link]])</f>
        <v>Communication Services</v>
      </c>
    </row>
    <row r="194" spans="1:16" s="5" customFormat="1" ht="28.5" customHeight="1" x14ac:dyDescent="0.25">
      <c r="A194" s="12" t="s">
        <v>694</v>
      </c>
      <c r="B194" s="11" t="s">
        <v>46</v>
      </c>
      <c r="C194" s="13" t="s">
        <v>695</v>
      </c>
      <c r="D194" s="13" t="s">
        <v>696</v>
      </c>
      <c r="E194" s="11" t="s">
        <v>118</v>
      </c>
      <c r="F194" s="13" t="s">
        <v>21</v>
      </c>
      <c r="G194" s="13" t="s">
        <v>22</v>
      </c>
      <c r="H194" s="13" t="s">
        <v>154</v>
      </c>
      <c r="I194" s="13" t="s">
        <v>64</v>
      </c>
      <c r="J194" s="13" t="s">
        <v>65</v>
      </c>
      <c r="K194" s="13" t="s">
        <v>124</v>
      </c>
      <c r="L194" s="13" t="s">
        <v>67</v>
      </c>
      <c r="M194" s="13" t="s">
        <v>68</v>
      </c>
      <c r="N194" s="13" t="s">
        <v>25</v>
      </c>
      <c r="O194" s="4" t="str">
        <f>VLOOKUP(ALL_Issues2[[#This Row],[EA Epic Link]],Table466[],2,FALSE)</f>
        <v>Infrastructure Delivery Portfolio</v>
      </c>
      <c r="P194" s="4" t="str">
        <f>_xlfn.XLOOKUP(ALL_Issues2[[#This Row],[Epic Link]], Table35[Other Project Epic Links], Table35[EA Epic Links], ALL_Issues2[[#This Row],[Epic Link]])</f>
        <v>End User Device Management</v>
      </c>
    </row>
    <row r="195" spans="1:16" s="5" customFormat="1" ht="28.5" customHeight="1" x14ac:dyDescent="0.25">
      <c r="A195" s="12" t="s">
        <v>697</v>
      </c>
      <c r="B195" s="11" t="s">
        <v>46</v>
      </c>
      <c r="C195" s="13" t="s">
        <v>698</v>
      </c>
      <c r="D195" s="13" t="s">
        <v>699</v>
      </c>
      <c r="E195" s="11" t="s">
        <v>251</v>
      </c>
      <c r="F195" s="13" t="s">
        <v>22</v>
      </c>
      <c r="G195" s="13" t="s">
        <v>193</v>
      </c>
      <c r="H195" s="13" t="s">
        <v>124</v>
      </c>
      <c r="I195" s="13" t="s">
        <v>700</v>
      </c>
      <c r="J195" s="13" t="s">
        <v>65</v>
      </c>
      <c r="K195" s="13" t="s">
        <v>124</v>
      </c>
      <c r="L195" s="13"/>
      <c r="M195" s="13" t="s">
        <v>25</v>
      </c>
      <c r="N195" s="13" t="s">
        <v>25</v>
      </c>
      <c r="O195" s="4" t="e">
        <f>VLOOKUP(ALL_Issues2[[#This Row],[EA Epic Link]],Table466[],2,FALSE)</f>
        <v>#N/A</v>
      </c>
      <c r="P195" s="4" t="str">
        <f>_xlfn.XLOOKUP(ALL_Issues2[[#This Row],[Epic Link]], Table35[Other Project Epic Links], Table35[EA Epic Links], ALL_Issues2[[#This Row],[Epic Link]])</f>
        <v>End User Tools and Services 2022</v>
      </c>
    </row>
    <row r="196" spans="1:16" s="5" customFormat="1" ht="28.5" customHeight="1" x14ac:dyDescent="0.25">
      <c r="A196" s="12" t="s">
        <v>701</v>
      </c>
      <c r="B196" s="11" t="s">
        <v>46</v>
      </c>
      <c r="C196" s="13" t="s">
        <v>702</v>
      </c>
      <c r="D196" s="13" t="s">
        <v>703</v>
      </c>
      <c r="E196" s="11" t="s">
        <v>186</v>
      </c>
      <c r="F196" s="13" t="s">
        <v>58</v>
      </c>
      <c r="G196" s="13" t="s">
        <v>22</v>
      </c>
      <c r="H196" s="13" t="s">
        <v>124</v>
      </c>
      <c r="I196" s="13" t="s">
        <v>247</v>
      </c>
      <c r="J196" s="13" t="s">
        <v>65</v>
      </c>
      <c r="K196" s="13" t="s">
        <v>73</v>
      </c>
      <c r="L196" s="13" t="s">
        <v>67</v>
      </c>
      <c r="M196" s="13" t="s">
        <v>25</v>
      </c>
      <c r="N196" s="13" t="s">
        <v>25</v>
      </c>
      <c r="O196" s="4" t="str">
        <f>VLOOKUP(ALL_Issues2[[#This Row],[EA Epic Link]],Table466[],2,FALSE)</f>
        <v>Infrastructure Delivery Portfolio</v>
      </c>
      <c r="P196" s="4" t="str">
        <f>_xlfn.XLOOKUP(ALL_Issues2[[#This Row],[Epic Link]], Table35[Other Project Epic Links], Table35[EA Epic Links], ALL_Issues2[[#This Row],[Epic Link]])</f>
        <v>End User Productivity</v>
      </c>
    </row>
    <row r="197" spans="1:16" s="5" customFormat="1" ht="28.5" customHeight="1" x14ac:dyDescent="0.25">
      <c r="A197" s="12" t="s">
        <v>704</v>
      </c>
      <c r="B197" s="11" t="s">
        <v>46</v>
      </c>
      <c r="C197" s="13" t="s">
        <v>705</v>
      </c>
      <c r="D197" s="13" t="s">
        <v>706</v>
      </c>
      <c r="E197" s="11" t="s">
        <v>118</v>
      </c>
      <c r="F197" s="13" t="s">
        <v>58</v>
      </c>
      <c r="G197" s="13" t="s">
        <v>22</v>
      </c>
      <c r="H197" s="13" t="s">
        <v>281</v>
      </c>
      <c r="I197" s="13" t="s">
        <v>282</v>
      </c>
      <c r="J197" s="13" t="s">
        <v>146</v>
      </c>
      <c r="K197" s="13" t="s">
        <v>23</v>
      </c>
      <c r="L197" s="13"/>
      <c r="M197" s="13" t="s">
        <v>25</v>
      </c>
      <c r="N197" s="13" t="s">
        <v>25</v>
      </c>
      <c r="O197" s="4" t="str">
        <f>VLOOKUP(ALL_Issues2[[#This Row],[EA Epic Link]],Table466[],2,FALSE)</f>
        <v>Corporate Delivery Portfolio</v>
      </c>
      <c r="P197" s="4" t="str">
        <f>_xlfn.XLOOKUP(ALL_Issues2[[#This Row],[Epic Link]], Table35[Other Project Epic Links], Table35[EA Epic Links], ALL_Issues2[[#This Row],[Epic Link]])</f>
        <v>Human Capital Management Platform</v>
      </c>
    </row>
    <row r="198" spans="1:16" s="5" customFormat="1" ht="28.5" customHeight="1" x14ac:dyDescent="0.25">
      <c r="A198" s="12" t="s">
        <v>707</v>
      </c>
      <c r="B198" s="11" t="s">
        <v>46</v>
      </c>
      <c r="C198" s="13" t="s">
        <v>708</v>
      </c>
      <c r="D198" s="13" t="s">
        <v>709</v>
      </c>
      <c r="E198" s="11" t="s">
        <v>251</v>
      </c>
      <c r="F198" s="13" t="s">
        <v>21</v>
      </c>
      <c r="G198" s="13" t="s">
        <v>22</v>
      </c>
      <c r="H198" s="14" t="s">
        <v>59</v>
      </c>
      <c r="I198" s="13" t="s">
        <v>710</v>
      </c>
      <c r="J198" s="13" t="s">
        <v>51</v>
      </c>
      <c r="K198" s="13" t="s">
        <v>52</v>
      </c>
      <c r="L198" s="13"/>
      <c r="M198" s="13" t="s">
        <v>25</v>
      </c>
      <c r="N198" s="13" t="s">
        <v>25</v>
      </c>
      <c r="O198" s="4" t="e">
        <f>VLOOKUP(ALL_Issues2[[#This Row],[EA Epic Link]],Table466[],2,FALSE)</f>
        <v>#N/A</v>
      </c>
      <c r="P198" s="4" t="str">
        <f>_xlfn.XLOOKUP(ALL_Issues2[[#This Row],[Epic Link]], Table35[Other Project Epic Links], Table35[EA Epic Links], ALL_Issues2[[#This Row],[Epic Link]])</f>
        <v>Enterprise Reporting - Report Generation 2022</v>
      </c>
    </row>
    <row r="199" spans="1:16" s="5" customFormat="1" ht="28.5" customHeight="1" x14ac:dyDescent="0.25">
      <c r="A199" s="12" t="s">
        <v>711</v>
      </c>
      <c r="B199" s="11" t="s">
        <v>55</v>
      </c>
      <c r="C199" s="13" t="s">
        <v>712</v>
      </c>
      <c r="D199" s="13" t="s">
        <v>713</v>
      </c>
      <c r="E199" s="11" t="s">
        <v>20</v>
      </c>
      <c r="F199" s="13" t="s">
        <v>21</v>
      </c>
      <c r="G199" s="13" t="s">
        <v>22</v>
      </c>
      <c r="H199" s="13" t="s">
        <v>714</v>
      </c>
      <c r="I199" s="13" t="s">
        <v>684</v>
      </c>
      <c r="J199" s="13" t="s">
        <v>51</v>
      </c>
      <c r="K199" s="13" t="s">
        <v>52</v>
      </c>
      <c r="L199" s="13"/>
      <c r="M199" s="13"/>
      <c r="N199" s="13"/>
      <c r="O199" s="4" t="str">
        <f>VLOOKUP(ALL_Issues2[[#This Row],[EA Epic Link]],Table466[],2,FALSE)</f>
        <v>Digital Delivery Portfolio</v>
      </c>
      <c r="P199" s="4" t="str">
        <f>_xlfn.XLOOKUP(ALL_Issues2[[#This Row],[Epic Link]], Table35[Other Project Epic Links], Table35[EA Epic Links], ALL_Issues2[[#This Row],[Epic Link]])</f>
        <v>Other Applications and Content Delivery Services</v>
      </c>
    </row>
    <row r="200" spans="1:16" s="5" customFormat="1" ht="28.5" customHeight="1" x14ac:dyDescent="0.25">
      <c r="A200" s="12" t="s">
        <v>715</v>
      </c>
      <c r="B200" s="11" t="s">
        <v>55</v>
      </c>
      <c r="C200" s="13" t="s">
        <v>716</v>
      </c>
      <c r="D200" s="13" t="s">
        <v>717</v>
      </c>
      <c r="E200" s="11" t="s">
        <v>251</v>
      </c>
      <c r="F200" s="13" t="s">
        <v>22</v>
      </c>
      <c r="G200" s="13" t="s">
        <v>22</v>
      </c>
      <c r="H200" s="13" t="s">
        <v>124</v>
      </c>
      <c r="I200" s="13" t="s">
        <v>392</v>
      </c>
      <c r="J200" s="13" t="s">
        <v>65</v>
      </c>
      <c r="K200" s="13" t="s">
        <v>73</v>
      </c>
      <c r="L200" s="13" t="s">
        <v>476</v>
      </c>
      <c r="M200" s="13"/>
      <c r="N200" s="13"/>
      <c r="O200" s="4" t="e">
        <f>VLOOKUP(ALL_Issues2[[#This Row],[EA Epic Link]],Table466[],2,FALSE)</f>
        <v>#N/A</v>
      </c>
      <c r="P200" s="4" t="str">
        <f>_xlfn.XLOOKUP(ALL_Issues2[[#This Row],[Epic Link]], Table35[Other Project Epic Links], Table35[EA Epic Links], ALL_Issues2[[#This Row],[Epic Link]])</f>
        <v>Managed Desktop 2022</v>
      </c>
    </row>
    <row r="201" spans="1:16" s="5" customFormat="1" ht="28.5" customHeight="1" x14ac:dyDescent="0.25">
      <c r="A201" s="12" t="s">
        <v>718</v>
      </c>
      <c r="B201" s="11" t="s">
        <v>17</v>
      </c>
      <c r="C201" s="13" t="s">
        <v>719</v>
      </c>
      <c r="D201" s="13" t="s">
        <v>720</v>
      </c>
      <c r="E201" s="11" t="s">
        <v>113</v>
      </c>
      <c r="F201" s="13" t="s">
        <v>21</v>
      </c>
      <c r="G201" s="13" t="s">
        <v>22</v>
      </c>
      <c r="H201" s="13" t="s">
        <v>662</v>
      </c>
      <c r="I201" s="13" t="s">
        <v>242</v>
      </c>
      <c r="J201" s="13" t="s">
        <v>51</v>
      </c>
      <c r="K201" s="13" t="s">
        <v>52</v>
      </c>
      <c r="L201" s="13" t="s">
        <v>109</v>
      </c>
      <c r="M201" s="13"/>
      <c r="N201" s="13"/>
      <c r="O201" s="4" t="str">
        <f>VLOOKUP(ALL_Issues2[[#This Row],[EA Epic Link]],Table466[],2,FALSE)</f>
        <v>Corporate Delivery Portfolio</v>
      </c>
      <c r="P201" s="4" t="str">
        <f>_xlfn.XLOOKUP(ALL_Issues2[[#This Row],[Epic Link]], Table35[Other Project Epic Links], Table35[EA Epic Links], ALL_Issues2[[#This Row],[Epic Link]])</f>
        <v>Business Process Automation</v>
      </c>
    </row>
    <row r="202" spans="1:16" s="5" customFormat="1" ht="28.5" customHeight="1" x14ac:dyDescent="0.25">
      <c r="A202" s="12" t="s">
        <v>721</v>
      </c>
      <c r="B202" s="11" t="s">
        <v>46</v>
      </c>
      <c r="C202" s="13" t="s">
        <v>722</v>
      </c>
      <c r="D202" s="13" t="s">
        <v>723</v>
      </c>
      <c r="E202" s="11" t="s">
        <v>48</v>
      </c>
      <c r="F202" s="13" t="s">
        <v>21</v>
      </c>
      <c r="G202" s="13" t="s">
        <v>246</v>
      </c>
      <c r="H202" s="13" t="s">
        <v>102</v>
      </c>
      <c r="I202" s="13" t="s">
        <v>684</v>
      </c>
      <c r="J202" s="13" t="s">
        <v>51</v>
      </c>
      <c r="K202" s="13" t="s">
        <v>52</v>
      </c>
      <c r="L202" s="13" t="s">
        <v>109</v>
      </c>
      <c r="M202" s="13" t="s">
        <v>68</v>
      </c>
      <c r="N202" s="13"/>
      <c r="O202" s="4" t="str">
        <f>VLOOKUP(ALL_Issues2[[#This Row],[EA Epic Link]],Table466[],2,FALSE)</f>
        <v>Digital Delivery Portfolio</v>
      </c>
      <c r="P202" s="4" t="str">
        <f>_xlfn.XLOOKUP(ALL_Issues2[[#This Row],[Epic Link]], Table35[Other Project Epic Links], Table35[EA Epic Links], ALL_Issues2[[#This Row],[Epic Link]])</f>
        <v>Other Applications and Content Delivery Services</v>
      </c>
    </row>
    <row r="203" spans="1:16" s="5" customFormat="1" ht="28.5" customHeight="1" x14ac:dyDescent="0.25">
      <c r="A203" s="12" t="s">
        <v>724</v>
      </c>
      <c r="B203" s="11" t="s">
        <v>46</v>
      </c>
      <c r="C203" s="13" t="s">
        <v>725</v>
      </c>
      <c r="D203" s="13" t="s">
        <v>726</v>
      </c>
      <c r="E203" s="11" t="s">
        <v>48</v>
      </c>
      <c r="F203" s="13" t="s">
        <v>21</v>
      </c>
      <c r="G203" s="13" t="s">
        <v>246</v>
      </c>
      <c r="H203" s="13" t="s">
        <v>124</v>
      </c>
      <c r="I203" s="13" t="s">
        <v>498</v>
      </c>
      <c r="J203" s="13" t="s">
        <v>65</v>
      </c>
      <c r="K203" s="13" t="s">
        <v>73</v>
      </c>
      <c r="L203" s="13" t="s">
        <v>67</v>
      </c>
      <c r="M203" s="13" t="s">
        <v>68</v>
      </c>
      <c r="N203" s="13"/>
      <c r="O203" s="4" t="str">
        <f>VLOOKUP(ALL_Issues2[[#This Row],[EA Epic Link]],Table466[],2,FALSE)</f>
        <v>Data and Integration Delivery Portfolio</v>
      </c>
      <c r="P203" s="4" t="str">
        <f>_xlfn.XLOOKUP(ALL_Issues2[[#This Row],[Epic Link]], Table35[Other Project Epic Links], Table35[EA Epic Links], ALL_Issues2[[#This Row],[Epic Link]])</f>
        <v>Enterprise Data Platform</v>
      </c>
    </row>
    <row r="204" spans="1:16" s="5" customFormat="1" ht="28.5" customHeight="1" x14ac:dyDescent="0.25">
      <c r="A204" s="12" t="s">
        <v>727</v>
      </c>
      <c r="B204" s="11" t="s">
        <v>46</v>
      </c>
      <c r="C204" s="13" t="s">
        <v>728</v>
      </c>
      <c r="D204" s="13" t="s">
        <v>729</v>
      </c>
      <c r="E204" s="11" t="s">
        <v>48</v>
      </c>
      <c r="F204" s="13" t="s">
        <v>21</v>
      </c>
      <c r="G204" s="13" t="s">
        <v>246</v>
      </c>
      <c r="H204" s="13" t="s">
        <v>124</v>
      </c>
      <c r="I204" s="13" t="s">
        <v>498</v>
      </c>
      <c r="J204" s="13" t="s">
        <v>65</v>
      </c>
      <c r="K204" s="13" t="s">
        <v>73</v>
      </c>
      <c r="L204" s="13" t="s">
        <v>67</v>
      </c>
      <c r="M204" s="13" t="s">
        <v>68</v>
      </c>
      <c r="N204" s="13"/>
      <c r="O204" s="4" t="str">
        <f>VLOOKUP(ALL_Issues2[[#This Row],[EA Epic Link]],Table466[],2,FALSE)</f>
        <v>Data and Integration Delivery Portfolio</v>
      </c>
      <c r="P204" s="4" t="str">
        <f>_xlfn.XLOOKUP(ALL_Issues2[[#This Row],[Epic Link]], Table35[Other Project Epic Links], Table35[EA Epic Links], ALL_Issues2[[#This Row],[Epic Link]])</f>
        <v>Enterprise Data Platform</v>
      </c>
    </row>
    <row r="205" spans="1:16" s="5" customFormat="1" ht="28.5" customHeight="1" x14ac:dyDescent="0.25">
      <c r="A205" s="12" t="s">
        <v>730</v>
      </c>
      <c r="B205" s="11" t="s">
        <v>17</v>
      </c>
      <c r="C205" s="13" t="s">
        <v>731</v>
      </c>
      <c r="D205" s="13" t="s">
        <v>732</v>
      </c>
      <c r="E205" s="11" t="s">
        <v>48</v>
      </c>
      <c r="F205" s="13" t="s">
        <v>21</v>
      </c>
      <c r="G205" s="13" t="s">
        <v>22</v>
      </c>
      <c r="H205" s="13" t="s">
        <v>43</v>
      </c>
      <c r="I205" s="13" t="s">
        <v>72</v>
      </c>
      <c r="J205" s="13" t="s">
        <v>51</v>
      </c>
      <c r="K205" s="13" t="s">
        <v>52</v>
      </c>
      <c r="L205" s="13"/>
      <c r="M205" s="13"/>
      <c r="N205" s="13"/>
      <c r="O205" s="4" t="str">
        <f>VLOOKUP(ALL_Issues2[[#This Row],[EA Epic Link]],Table466[],2,FALSE)</f>
        <v>Corporate Delivery Portfolio</v>
      </c>
      <c r="P205" s="4" t="str">
        <f>_xlfn.XLOOKUP(ALL_Issues2[[#This Row],[Epic Link]], Table35[Other Project Epic Links], Table35[EA Epic Links], ALL_Issues2[[#This Row],[Epic Link]])</f>
        <v>Investment Management</v>
      </c>
    </row>
    <row r="206" spans="1:16" s="5" customFormat="1" ht="28.5" customHeight="1" x14ac:dyDescent="0.25">
      <c r="A206" s="12" t="s">
        <v>733</v>
      </c>
      <c r="B206" s="11" t="s">
        <v>17</v>
      </c>
      <c r="C206" s="13" t="s">
        <v>734</v>
      </c>
      <c r="D206" s="13" t="s">
        <v>735</v>
      </c>
      <c r="E206" s="11" t="s">
        <v>48</v>
      </c>
      <c r="F206" s="13" t="s">
        <v>21</v>
      </c>
      <c r="G206" s="13" t="s">
        <v>193</v>
      </c>
      <c r="H206" s="13" t="s">
        <v>43</v>
      </c>
      <c r="I206" s="13" t="s">
        <v>72</v>
      </c>
      <c r="J206" s="13" t="s">
        <v>51</v>
      </c>
      <c r="K206" s="13" t="s">
        <v>52</v>
      </c>
      <c r="L206" s="13"/>
      <c r="M206" s="13"/>
      <c r="N206" s="13"/>
      <c r="O206" s="4" t="str">
        <f>VLOOKUP(ALL_Issues2[[#This Row],[EA Epic Link]],Table466[],2,FALSE)</f>
        <v>Corporate Delivery Portfolio</v>
      </c>
      <c r="P206" s="4" t="str">
        <f>_xlfn.XLOOKUP(ALL_Issues2[[#This Row],[Epic Link]], Table35[Other Project Epic Links], Table35[EA Epic Links], ALL_Issues2[[#This Row],[Epic Link]])</f>
        <v>Investment Management</v>
      </c>
    </row>
    <row r="207" spans="1:16" s="5" customFormat="1" ht="28.5" customHeight="1" x14ac:dyDescent="0.25">
      <c r="A207" s="12" t="s">
        <v>736</v>
      </c>
      <c r="B207" s="11" t="s">
        <v>17</v>
      </c>
      <c r="C207" s="13" t="s">
        <v>737</v>
      </c>
      <c r="D207" s="13" t="s">
        <v>738</v>
      </c>
      <c r="E207" s="11" t="s">
        <v>48</v>
      </c>
      <c r="F207" s="13" t="s">
        <v>21</v>
      </c>
      <c r="G207" s="13" t="s">
        <v>22</v>
      </c>
      <c r="H207" s="13" t="s">
        <v>43</v>
      </c>
      <c r="I207" s="13" t="s">
        <v>72</v>
      </c>
      <c r="J207" s="13" t="s">
        <v>51</v>
      </c>
      <c r="K207" s="13" t="s">
        <v>52</v>
      </c>
      <c r="L207" s="13"/>
      <c r="M207" s="13"/>
      <c r="N207" s="13"/>
      <c r="O207" s="4" t="str">
        <f>VLOOKUP(ALL_Issues2[[#This Row],[EA Epic Link]],Table466[],2,FALSE)</f>
        <v>Corporate Delivery Portfolio</v>
      </c>
      <c r="P207" s="4" t="str">
        <f>_xlfn.XLOOKUP(ALL_Issues2[[#This Row],[Epic Link]], Table35[Other Project Epic Links], Table35[EA Epic Links], ALL_Issues2[[#This Row],[Epic Link]])</f>
        <v>Investment Management</v>
      </c>
    </row>
    <row r="208" spans="1:16" s="5" customFormat="1" ht="28.5" customHeight="1" x14ac:dyDescent="0.25">
      <c r="A208" s="12" t="s">
        <v>739</v>
      </c>
      <c r="B208" s="11" t="s">
        <v>86</v>
      </c>
      <c r="C208" s="13" t="s">
        <v>740</v>
      </c>
      <c r="D208" s="13" t="s">
        <v>741</v>
      </c>
      <c r="E208" s="11" t="s">
        <v>20</v>
      </c>
      <c r="F208" s="13" t="s">
        <v>21</v>
      </c>
      <c r="G208" s="13" t="s">
        <v>22</v>
      </c>
      <c r="H208" s="13" t="s">
        <v>49</v>
      </c>
      <c r="I208" s="13" t="s">
        <v>619</v>
      </c>
      <c r="J208" s="13" t="s">
        <v>101</v>
      </c>
      <c r="K208" s="13" t="s">
        <v>73</v>
      </c>
      <c r="L208" s="13"/>
      <c r="M208" s="13"/>
      <c r="N208" s="13"/>
      <c r="O208" s="4" t="str">
        <f>VLOOKUP(ALL_Issues2[[#This Row],[EA Epic Link]],Table466[],2,FALSE)</f>
        <v>Data and Integration Delivery Portfolio</v>
      </c>
      <c r="P208" s="4" t="str">
        <f>_xlfn.XLOOKUP(ALL_Issues2[[#This Row],[Epic Link]], Table35[Other Project Epic Links], Table35[EA Epic Links], ALL_Issues2[[#This Row],[Epic Link]])</f>
        <v>Other Data and Analytics Services</v>
      </c>
    </row>
    <row r="209" spans="1:16" s="5" customFormat="1" ht="28.5" customHeight="1" x14ac:dyDescent="0.25">
      <c r="A209" s="12" t="s">
        <v>742</v>
      </c>
      <c r="B209" s="11" t="s">
        <v>46</v>
      </c>
      <c r="C209" s="13" t="s">
        <v>743</v>
      </c>
      <c r="D209" s="13" t="s">
        <v>744</v>
      </c>
      <c r="E209" s="11" t="s">
        <v>251</v>
      </c>
      <c r="F209" s="13" t="s">
        <v>21</v>
      </c>
      <c r="G209" s="13" t="s">
        <v>22</v>
      </c>
      <c r="H209" s="13" t="s">
        <v>49</v>
      </c>
      <c r="I209" s="13" t="s">
        <v>684</v>
      </c>
      <c r="J209" s="13" t="s">
        <v>51</v>
      </c>
      <c r="K209" s="13" t="s">
        <v>225</v>
      </c>
      <c r="L209" s="13"/>
      <c r="M209" s="13" t="s">
        <v>68</v>
      </c>
      <c r="N209" s="13"/>
      <c r="O209" s="4" t="str">
        <f>VLOOKUP(ALL_Issues2[[#This Row],[EA Epic Link]],Table466[],2,FALSE)</f>
        <v>Digital Delivery Portfolio</v>
      </c>
      <c r="P209" s="4" t="str">
        <f>_xlfn.XLOOKUP(ALL_Issues2[[#This Row],[Epic Link]], Table35[Other Project Epic Links], Table35[EA Epic Links], ALL_Issues2[[#This Row],[Epic Link]])</f>
        <v>Other Applications and Content Delivery Services</v>
      </c>
    </row>
    <row r="210" spans="1:16" s="5" customFormat="1" ht="28.5" customHeight="1" x14ac:dyDescent="0.25">
      <c r="A210" s="12" t="s">
        <v>745</v>
      </c>
      <c r="B210" s="11" t="s">
        <v>86</v>
      </c>
      <c r="C210" s="13" t="s">
        <v>746</v>
      </c>
      <c r="D210" s="13" t="s">
        <v>747</v>
      </c>
      <c r="E210" s="11" t="s">
        <v>20</v>
      </c>
      <c r="F210" s="13" t="s">
        <v>58</v>
      </c>
      <c r="G210" s="13" t="s">
        <v>193</v>
      </c>
      <c r="H210" s="13" t="s">
        <v>225</v>
      </c>
      <c r="I210" s="13" t="s">
        <v>498</v>
      </c>
      <c r="J210" s="13" t="s">
        <v>51</v>
      </c>
      <c r="K210" s="13" t="s">
        <v>73</v>
      </c>
      <c r="L210" s="13"/>
      <c r="M210" s="13"/>
      <c r="N210" s="13"/>
      <c r="O210" s="4" t="str">
        <f>VLOOKUP(ALL_Issues2[[#This Row],[EA Epic Link]],Table466[],2,FALSE)</f>
        <v>Data and Integration Delivery Portfolio</v>
      </c>
      <c r="P210" s="4" t="str">
        <f>_xlfn.XLOOKUP(ALL_Issues2[[#This Row],[Epic Link]], Table35[Other Project Epic Links], Table35[EA Epic Links], ALL_Issues2[[#This Row],[Epic Link]])</f>
        <v>Enterprise Data Platform</v>
      </c>
    </row>
    <row r="211" spans="1:16" s="5" customFormat="1" ht="28.5" customHeight="1" x14ac:dyDescent="0.25">
      <c r="A211" s="12" t="s">
        <v>748</v>
      </c>
      <c r="B211" s="11" t="s">
        <v>86</v>
      </c>
      <c r="C211" s="13" t="s">
        <v>749</v>
      </c>
      <c r="D211" s="13" t="s">
        <v>750</v>
      </c>
      <c r="E211" s="11" t="s">
        <v>20</v>
      </c>
      <c r="F211" s="13" t="s">
        <v>21</v>
      </c>
      <c r="G211" s="13" t="s">
        <v>22</v>
      </c>
      <c r="H211" s="13" t="s">
        <v>93</v>
      </c>
      <c r="I211" s="13" t="s">
        <v>64</v>
      </c>
      <c r="J211" s="13" t="s">
        <v>65</v>
      </c>
      <c r="K211" s="13" t="s">
        <v>124</v>
      </c>
      <c r="L211" s="13" t="s">
        <v>476</v>
      </c>
      <c r="M211" s="13"/>
      <c r="N211" s="13"/>
      <c r="O211" s="4" t="str">
        <f>VLOOKUP(ALL_Issues2[[#This Row],[EA Epic Link]],Table466[],2,FALSE)</f>
        <v>Infrastructure Delivery Portfolio</v>
      </c>
      <c r="P211" s="4" t="str">
        <f>_xlfn.XLOOKUP(ALL_Issues2[[#This Row],[Epic Link]], Table35[Other Project Epic Links], Table35[EA Epic Links], ALL_Issues2[[#This Row],[Epic Link]])</f>
        <v>End User Device Management</v>
      </c>
    </row>
    <row r="212" spans="1:16" s="5" customFormat="1" ht="28.5" customHeight="1" x14ac:dyDescent="0.25">
      <c r="A212" s="12" t="s">
        <v>751</v>
      </c>
      <c r="B212" s="11" t="s">
        <v>46</v>
      </c>
      <c r="C212" s="13" t="s">
        <v>752</v>
      </c>
      <c r="D212" s="13" t="s">
        <v>753</v>
      </c>
      <c r="E212" s="11" t="s">
        <v>754</v>
      </c>
      <c r="F212" s="13" t="s">
        <v>58</v>
      </c>
      <c r="G212" s="13" t="s">
        <v>22</v>
      </c>
      <c r="H212" s="13" t="s">
        <v>172</v>
      </c>
      <c r="I212" s="13" t="s">
        <v>343</v>
      </c>
      <c r="J212" s="13" t="s">
        <v>51</v>
      </c>
      <c r="K212" s="13" t="s">
        <v>52</v>
      </c>
      <c r="L212" s="13"/>
      <c r="M212" s="13"/>
      <c r="N212" s="13"/>
      <c r="O212" s="4" t="str">
        <f>VLOOKUP(ALL_Issues2[[#This Row],[EA Epic Link]],Table466[],2,FALSE)</f>
        <v>IT Governance</v>
      </c>
      <c r="P212" s="4" t="str">
        <f>_xlfn.XLOOKUP(ALL_Issues2[[#This Row],[Epic Link]], Table35[Other Project Epic Links], Table35[EA Epic Links], ALL_Issues2[[#This Row],[Epic Link]])</f>
        <v>New Applications not Categorized</v>
      </c>
    </row>
    <row r="213" spans="1:16" s="5" customFormat="1" ht="28.5" customHeight="1" x14ac:dyDescent="0.25">
      <c r="A213" s="12" t="s">
        <v>755</v>
      </c>
      <c r="B213" s="11" t="s">
        <v>55</v>
      </c>
      <c r="C213" s="13" t="s">
        <v>756</v>
      </c>
      <c r="D213" s="13" t="s">
        <v>757</v>
      </c>
      <c r="E213" s="11" t="s">
        <v>48</v>
      </c>
      <c r="F213" s="13" t="s">
        <v>21</v>
      </c>
      <c r="G213" s="13" t="s">
        <v>22</v>
      </c>
      <c r="H213" s="13" t="s">
        <v>758</v>
      </c>
      <c r="I213" s="13" t="s">
        <v>301</v>
      </c>
      <c r="J213" s="13" t="s">
        <v>51</v>
      </c>
      <c r="K213" s="13" t="s">
        <v>52</v>
      </c>
      <c r="L213" s="13"/>
      <c r="M213" s="13"/>
      <c r="N213" s="13"/>
      <c r="O213" s="4" t="str">
        <f>VLOOKUP(ALL_Issues2[[#This Row],[EA Epic Link]],Table466[],2,FALSE)</f>
        <v>Digital Delivery Portfolio</v>
      </c>
      <c r="P213" s="4" t="str">
        <f>_xlfn.XLOOKUP(ALL_Issues2[[#This Row],[Epic Link]], Table35[Other Project Epic Links], Table35[EA Epic Links], ALL_Issues2[[#This Row],[Epic Link]])</f>
        <v>IGM Core Digital Platform</v>
      </c>
    </row>
    <row r="214" spans="1:16" ht="28.5" customHeight="1" x14ac:dyDescent="0.35">
      <c r="A214" s="12" t="s">
        <v>759</v>
      </c>
      <c r="B214" s="11" t="s">
        <v>46</v>
      </c>
      <c r="C214" s="13" t="s">
        <v>760</v>
      </c>
      <c r="D214" s="13" t="s">
        <v>761</v>
      </c>
      <c r="E214" s="11" t="s">
        <v>251</v>
      </c>
      <c r="F214" s="13" t="s">
        <v>21</v>
      </c>
      <c r="G214" s="13" t="s">
        <v>599</v>
      </c>
      <c r="H214" s="13" t="s">
        <v>66</v>
      </c>
      <c r="I214" s="13" t="s">
        <v>762</v>
      </c>
      <c r="J214" s="13" t="s">
        <v>108</v>
      </c>
      <c r="K214" s="13" t="s">
        <v>52</v>
      </c>
      <c r="L214" s="13"/>
      <c r="M214" s="13"/>
      <c r="N214" s="13"/>
      <c r="O214" s="4" t="e">
        <f>VLOOKUP(ALL_Issues2[[#This Row],[EA Epic Link]],Table466[],2,FALSE)</f>
        <v>#N/A</v>
      </c>
      <c r="P214" s="4" t="str">
        <f>_xlfn.XLOOKUP(ALL_Issues2[[#This Row],[Epic Link]], Table35[Other Project Epic Links], Table35[EA Epic Links], ALL_Issues2[[#This Row],[Epic Link]])</f>
        <v>Scheduling 2022</v>
      </c>
    </row>
    <row r="215" spans="1:16" ht="28.5" customHeight="1" x14ac:dyDescent="0.35">
      <c r="A215" s="12" t="s">
        <v>763</v>
      </c>
      <c r="B215" s="11" t="s">
        <v>46</v>
      </c>
      <c r="C215" s="13" t="s">
        <v>764</v>
      </c>
      <c r="D215" s="13" t="s">
        <v>765</v>
      </c>
      <c r="E215" s="11" t="s">
        <v>20</v>
      </c>
      <c r="F215" s="13" t="s">
        <v>21</v>
      </c>
      <c r="G215" s="13" t="s">
        <v>22</v>
      </c>
      <c r="H215" s="13" t="s">
        <v>49</v>
      </c>
      <c r="I215" s="13" t="s">
        <v>684</v>
      </c>
      <c r="J215" s="13" t="s">
        <v>51</v>
      </c>
      <c r="K215" s="13" t="s">
        <v>52</v>
      </c>
      <c r="L215" s="13"/>
      <c r="M215" s="13"/>
      <c r="N215" s="13"/>
      <c r="O215" s="4" t="str">
        <f>VLOOKUP(ALL_Issues2[[#This Row],[EA Epic Link]],Table466[],2,FALSE)</f>
        <v>Digital Delivery Portfolio</v>
      </c>
      <c r="P215" s="4" t="str">
        <f>_xlfn.XLOOKUP(ALL_Issues2[[#This Row],[Epic Link]], Table35[Other Project Epic Links], Table35[EA Epic Links], ALL_Issues2[[#This Row],[Epic Link]])</f>
        <v>Other Applications and Content Delivery Services</v>
      </c>
    </row>
    <row r="216" spans="1:16" ht="28.5" customHeight="1" x14ac:dyDescent="0.35">
      <c r="A216" s="12" t="s">
        <v>766</v>
      </c>
      <c r="B216" s="11" t="s">
        <v>17</v>
      </c>
      <c r="C216" s="13" t="s">
        <v>767</v>
      </c>
      <c r="D216" s="13" t="s">
        <v>768</v>
      </c>
      <c r="E216" s="11" t="s">
        <v>20</v>
      </c>
      <c r="F216" s="13" t="s">
        <v>58</v>
      </c>
      <c r="G216" s="13" t="s">
        <v>22</v>
      </c>
      <c r="H216" s="13" t="s">
        <v>102</v>
      </c>
      <c r="I216" s="13" t="s">
        <v>769</v>
      </c>
      <c r="J216" s="13" t="s">
        <v>51</v>
      </c>
      <c r="K216" s="13" t="s">
        <v>52</v>
      </c>
      <c r="L216" s="13"/>
      <c r="M216" s="13"/>
      <c r="N216" s="13"/>
      <c r="O216" s="4" t="str">
        <f>VLOOKUP(ALL_Issues2[[#This Row],[EA Epic Link]],Table466[],2,FALSE)</f>
        <v xml:space="preserve">IPC Technology Delivery Portfolio </v>
      </c>
      <c r="P216" s="4" t="str">
        <f>_xlfn.XLOOKUP(ALL_Issues2[[#This Row],[Epic Link]], Table35[Other Project Epic Links], Table35[EA Epic Links], ALL_Issues2[[#This Row],[Epic Link]])</f>
        <v>IPC</v>
      </c>
    </row>
    <row r="217" spans="1:16" ht="28.5" customHeight="1" x14ac:dyDescent="0.35">
      <c r="A217" s="12" t="s">
        <v>770</v>
      </c>
      <c r="B217" s="11" t="s">
        <v>55</v>
      </c>
      <c r="C217" s="13" t="s">
        <v>771</v>
      </c>
      <c r="D217" s="13" t="s">
        <v>772</v>
      </c>
      <c r="E217" s="11" t="s">
        <v>20</v>
      </c>
      <c r="F217" s="13" t="s">
        <v>58</v>
      </c>
      <c r="G217" s="13" t="s">
        <v>246</v>
      </c>
      <c r="H217" s="13" t="s">
        <v>102</v>
      </c>
      <c r="I217" s="13" t="s">
        <v>769</v>
      </c>
      <c r="J217" s="13" t="s">
        <v>51</v>
      </c>
      <c r="K217" s="13" t="s">
        <v>52</v>
      </c>
      <c r="L217" s="13"/>
      <c r="M217" s="13"/>
      <c r="N217" s="13"/>
      <c r="O217" s="4" t="str">
        <f>VLOOKUP(ALL_Issues2[[#This Row],[EA Epic Link]],Table466[],2,FALSE)</f>
        <v xml:space="preserve">IPC Technology Delivery Portfolio </v>
      </c>
      <c r="P217" s="4" t="str">
        <f>_xlfn.XLOOKUP(ALL_Issues2[[#This Row],[Epic Link]], Table35[Other Project Epic Links], Table35[EA Epic Links], ALL_Issues2[[#This Row],[Epic Link]])</f>
        <v>IPC</v>
      </c>
    </row>
    <row r="218" spans="1:16" ht="28.5" customHeight="1" x14ac:dyDescent="0.35">
      <c r="A218" s="12" t="s">
        <v>773</v>
      </c>
      <c r="B218" s="11" t="s">
        <v>46</v>
      </c>
      <c r="C218" s="13" t="s">
        <v>774</v>
      </c>
      <c r="D218" s="13" t="s">
        <v>775</v>
      </c>
      <c r="E218" s="11" t="s">
        <v>251</v>
      </c>
      <c r="F218" s="13" t="s">
        <v>21</v>
      </c>
      <c r="G218" s="13" t="s">
        <v>22</v>
      </c>
      <c r="H218" s="13" t="s">
        <v>49</v>
      </c>
      <c r="I218" s="13" t="s">
        <v>351</v>
      </c>
      <c r="J218" s="13" t="s">
        <v>51</v>
      </c>
      <c r="K218" s="13" t="s">
        <v>52</v>
      </c>
      <c r="L218" s="13"/>
      <c r="M218" s="13"/>
      <c r="N218" s="13"/>
      <c r="O218" s="4" t="e">
        <f>VLOOKUP(ALL_Issues2[[#This Row],[EA Epic Link]],Table466[],2,FALSE)</f>
        <v>#N/A</v>
      </c>
      <c r="P218" s="4" t="str">
        <f>_xlfn.XLOOKUP(ALL_Issues2[[#This Row],[Epic Link]], Table35[Other Project Epic Links], Table35[EA Epic Links], ALL_Issues2[[#This Row],[Epic Link]])</f>
        <v>Contact Centre 2022</v>
      </c>
    </row>
    <row r="219" spans="1:16" ht="28.5" customHeight="1" x14ac:dyDescent="0.35">
      <c r="A219" s="12" t="s">
        <v>776</v>
      </c>
      <c r="B219" s="11" t="s">
        <v>46</v>
      </c>
      <c r="C219" s="13" t="s">
        <v>777</v>
      </c>
      <c r="D219" s="13" t="s">
        <v>778</v>
      </c>
      <c r="E219" s="11" t="s">
        <v>251</v>
      </c>
      <c r="F219" s="13" t="s">
        <v>21</v>
      </c>
      <c r="G219" s="13" t="s">
        <v>22</v>
      </c>
      <c r="H219" s="13" t="s">
        <v>49</v>
      </c>
      <c r="I219" s="13" t="s">
        <v>50</v>
      </c>
      <c r="J219" s="13" t="s">
        <v>51</v>
      </c>
      <c r="K219" s="13" t="s">
        <v>52</v>
      </c>
      <c r="L219" s="13"/>
      <c r="M219" s="13"/>
      <c r="N219" s="13"/>
      <c r="O219" s="4" t="str">
        <f>VLOOKUP(ALL_Issues2[[#This Row],[EA Epic Link]],Table466[],2,FALSE)</f>
        <v>Corporate Delivery Portfolio</v>
      </c>
      <c r="P219" s="4" t="str">
        <f>_xlfn.XLOOKUP(ALL_Issues2[[#This Row],[Epic Link]], Table35[Other Project Epic Links], Table35[EA Epic Links], ALL_Issues2[[#This Row],[Epic Link]])</f>
        <v>Client Services Operations</v>
      </c>
    </row>
    <row r="220" spans="1:16" ht="28.5" customHeight="1" x14ac:dyDescent="0.35">
      <c r="A220" s="12" t="s">
        <v>779</v>
      </c>
      <c r="B220" s="11" t="s">
        <v>55</v>
      </c>
      <c r="C220" s="13" t="s">
        <v>780</v>
      </c>
      <c r="D220" s="13" t="s">
        <v>781</v>
      </c>
      <c r="E220" s="11" t="s">
        <v>48</v>
      </c>
      <c r="F220" s="13" t="s">
        <v>21</v>
      </c>
      <c r="G220" s="13" t="s">
        <v>22</v>
      </c>
      <c r="H220" s="14" t="s">
        <v>59</v>
      </c>
      <c r="I220" s="13" t="s">
        <v>160</v>
      </c>
      <c r="J220" s="13" t="s">
        <v>160</v>
      </c>
      <c r="K220" s="13" t="s">
        <v>73</v>
      </c>
      <c r="L220" s="13"/>
      <c r="M220" s="13"/>
      <c r="N220" s="13"/>
      <c r="O220" s="4" t="str">
        <f>VLOOKUP(ALL_Issues2[[#This Row],[EA Epic Link]],Table466[],2,FALSE)</f>
        <v>Security Delivery Portfolio</v>
      </c>
      <c r="P220" s="4" t="str">
        <f>_xlfn.XLOOKUP(ALL_Issues2[[#This Row],[Epic Link]], Table35[Other Project Epic Links], Table35[EA Epic Links], ALL_Issues2[[#This Row],[Epic Link]])</f>
        <v>Security</v>
      </c>
    </row>
    <row r="221" spans="1:16" ht="28.5" customHeight="1" x14ac:dyDescent="0.35">
      <c r="A221" s="12" t="s">
        <v>782</v>
      </c>
      <c r="B221" s="11" t="s">
        <v>17</v>
      </c>
      <c r="C221" s="13" t="s">
        <v>783</v>
      </c>
      <c r="D221" s="13" t="s">
        <v>784</v>
      </c>
      <c r="E221" s="11" t="s">
        <v>251</v>
      </c>
      <c r="F221" s="13" t="s">
        <v>21</v>
      </c>
      <c r="G221" s="13" t="s">
        <v>22</v>
      </c>
      <c r="H221" s="13" t="s">
        <v>49</v>
      </c>
      <c r="I221" s="13" t="s">
        <v>785</v>
      </c>
      <c r="J221" s="13" t="s">
        <v>51</v>
      </c>
      <c r="K221" s="13" t="s">
        <v>52</v>
      </c>
      <c r="L221" s="13"/>
      <c r="M221" s="13"/>
      <c r="N221" s="13"/>
      <c r="O221" s="4" t="e">
        <f>VLOOKUP(ALL_Issues2[[#This Row],[EA Epic Link]],Table466[],2,FALSE)</f>
        <v>#N/A</v>
      </c>
      <c r="P221" s="4" t="str">
        <f>_xlfn.XLOOKUP(ALL_Issues2[[#This Row],[Epic Link]], Table35[Other Project Epic Links], Table35[EA Epic Links], ALL_Issues2[[#This Row],[Epic Link]])</f>
        <v>Living Plan Portal 2022</v>
      </c>
    </row>
    <row r="222" spans="1:16" ht="28.5" customHeight="1" x14ac:dyDescent="0.35">
      <c r="A222" s="12" t="s">
        <v>786</v>
      </c>
      <c r="B222" s="11" t="s">
        <v>17</v>
      </c>
      <c r="C222" s="13" t="s">
        <v>787</v>
      </c>
      <c r="D222" s="13" t="s">
        <v>788</v>
      </c>
      <c r="E222" s="11" t="s">
        <v>48</v>
      </c>
      <c r="F222" s="13" t="s">
        <v>21</v>
      </c>
      <c r="G222" s="13" t="s">
        <v>193</v>
      </c>
      <c r="H222" s="13" t="s">
        <v>124</v>
      </c>
      <c r="I222" s="13" t="s">
        <v>64</v>
      </c>
      <c r="J222" s="13" t="s">
        <v>65</v>
      </c>
      <c r="K222" s="13" t="s">
        <v>124</v>
      </c>
      <c r="L222" s="13"/>
      <c r="M222" s="13"/>
      <c r="N222" s="13"/>
      <c r="O222" s="4" t="str">
        <f>VLOOKUP(ALL_Issues2[[#This Row],[EA Epic Link]],Table466[],2,FALSE)</f>
        <v>Infrastructure Delivery Portfolio</v>
      </c>
      <c r="P222" s="4" t="str">
        <f>_xlfn.XLOOKUP(ALL_Issues2[[#This Row],[Epic Link]], Table35[Other Project Epic Links], Table35[EA Epic Links], ALL_Issues2[[#This Row],[Epic Link]])</f>
        <v>End User Device Management</v>
      </c>
    </row>
    <row r="223" spans="1:16" ht="28.5" customHeight="1" x14ac:dyDescent="0.35">
      <c r="A223" s="12" t="s">
        <v>789</v>
      </c>
      <c r="B223" s="11" t="s">
        <v>55</v>
      </c>
      <c r="C223" s="13" t="s">
        <v>790</v>
      </c>
      <c r="D223" s="13" t="s">
        <v>791</v>
      </c>
      <c r="E223" s="11" t="s">
        <v>48</v>
      </c>
      <c r="F223" s="13" t="s">
        <v>58</v>
      </c>
      <c r="G223" s="13" t="s">
        <v>22</v>
      </c>
      <c r="H223" s="13" t="s">
        <v>99</v>
      </c>
      <c r="I223" s="13" t="s">
        <v>100</v>
      </c>
      <c r="J223" s="13"/>
      <c r="K223" s="13" t="s">
        <v>52</v>
      </c>
      <c r="L223" s="13"/>
      <c r="M223" s="13"/>
      <c r="N223" s="13"/>
      <c r="O223" s="4" t="str">
        <f>VLOOKUP(ALL_Issues2[[#This Row],[EA Epic Link]],Table466[],2,FALSE)</f>
        <v>Digital Delivery Portfolio</v>
      </c>
      <c r="P223" s="4" t="str">
        <f>_xlfn.XLOOKUP(ALL_Issues2[[#This Row],[Epic Link]], Table35[Other Project Epic Links], Table35[EA Epic Links], ALL_Issues2[[#This Row],[Epic Link]])</f>
        <v>MI Distribution and Marketing</v>
      </c>
    </row>
    <row r="224" spans="1:16" ht="28.5" customHeight="1" x14ac:dyDescent="0.35">
      <c r="A224" s="12" t="s">
        <v>792</v>
      </c>
      <c r="B224" s="11" t="s">
        <v>46</v>
      </c>
      <c r="C224" s="13" t="s">
        <v>793</v>
      </c>
      <c r="D224" s="13" t="s">
        <v>794</v>
      </c>
      <c r="E224" s="11" t="s">
        <v>251</v>
      </c>
      <c r="F224" s="13" t="s">
        <v>58</v>
      </c>
      <c r="G224" s="13" t="s">
        <v>22</v>
      </c>
      <c r="H224" s="13" t="s">
        <v>66</v>
      </c>
      <c r="I224" s="13" t="s">
        <v>392</v>
      </c>
      <c r="J224" s="13" t="s">
        <v>65</v>
      </c>
      <c r="K224" s="13" t="s">
        <v>124</v>
      </c>
      <c r="L224" s="13"/>
      <c r="M224" s="13"/>
      <c r="N224" s="13"/>
      <c r="O224" s="4" t="e">
        <f>VLOOKUP(ALL_Issues2[[#This Row],[EA Epic Link]],Table466[],2,FALSE)</f>
        <v>#N/A</v>
      </c>
      <c r="P224" s="4" t="str">
        <f>_xlfn.XLOOKUP(ALL_Issues2[[#This Row],[Epic Link]], Table35[Other Project Epic Links], Table35[EA Epic Links], ALL_Issues2[[#This Row],[Epic Link]])</f>
        <v>Managed Desktop 2022</v>
      </c>
    </row>
    <row r="225" spans="1:16" ht="28.5" customHeight="1" x14ac:dyDescent="0.35">
      <c r="A225" s="12" t="s">
        <v>795</v>
      </c>
      <c r="B225" s="11" t="s">
        <v>55</v>
      </c>
      <c r="C225" s="13" t="s">
        <v>796</v>
      </c>
      <c r="D225" s="13" t="s">
        <v>797</v>
      </c>
      <c r="E225" s="11" t="s">
        <v>754</v>
      </c>
      <c r="F225" s="13" t="s">
        <v>21</v>
      </c>
      <c r="G225" s="13" t="s">
        <v>22</v>
      </c>
      <c r="H225" s="13" t="s">
        <v>130</v>
      </c>
      <c r="I225" s="13" t="s">
        <v>94</v>
      </c>
      <c r="J225" s="13" t="s">
        <v>94</v>
      </c>
      <c r="K225" s="13" t="s">
        <v>73</v>
      </c>
      <c r="L225" s="13"/>
      <c r="M225" s="13"/>
      <c r="N225" s="13"/>
      <c r="O225" s="4" t="str">
        <f>VLOOKUP(ALL_Issues2[[#This Row],[EA Epic Link]],Table466[],2,FALSE)</f>
        <v>Infrastructure Delivery Portfolio</v>
      </c>
      <c r="P225" s="4" t="str">
        <f>_xlfn.XLOOKUP(ALL_Issues2[[#This Row],[Epic Link]], Table35[Other Project Epic Links], Table35[EA Epic Links], ALL_Issues2[[#This Row],[Epic Link]])</f>
        <v>Network</v>
      </c>
    </row>
    <row r="226" spans="1:16" ht="28.5" customHeight="1" x14ac:dyDescent="0.35">
      <c r="A226" s="12" t="s">
        <v>798</v>
      </c>
      <c r="B226" s="11" t="s">
        <v>46</v>
      </c>
      <c r="C226" s="13" t="s">
        <v>799</v>
      </c>
      <c r="D226" s="13" t="s">
        <v>800</v>
      </c>
      <c r="E226" s="11" t="s">
        <v>251</v>
      </c>
      <c r="F226" s="13" t="s">
        <v>21</v>
      </c>
      <c r="G226" s="13" t="s">
        <v>246</v>
      </c>
      <c r="H226" s="13" t="s">
        <v>49</v>
      </c>
      <c r="I226" s="13" t="s">
        <v>351</v>
      </c>
      <c r="J226" s="13" t="s">
        <v>51</v>
      </c>
      <c r="K226" s="13" t="s">
        <v>52</v>
      </c>
      <c r="L226" s="13"/>
      <c r="M226" s="13"/>
      <c r="N226" s="13"/>
      <c r="O226" s="4" t="e">
        <f>VLOOKUP(ALL_Issues2[[#This Row],[EA Epic Link]],Table466[],2,FALSE)</f>
        <v>#N/A</v>
      </c>
      <c r="P226" s="4" t="str">
        <f>_xlfn.XLOOKUP(ALL_Issues2[[#This Row],[Epic Link]], Table35[Other Project Epic Links], Table35[EA Epic Links], ALL_Issues2[[#This Row],[Epic Link]])</f>
        <v>Contact Centre 2022</v>
      </c>
    </row>
    <row r="227" spans="1:16" ht="28.5" customHeight="1" x14ac:dyDescent="0.35">
      <c r="A227" s="12" t="s">
        <v>801</v>
      </c>
      <c r="B227" s="11" t="s">
        <v>46</v>
      </c>
      <c r="C227" s="13" t="s">
        <v>802</v>
      </c>
      <c r="D227" s="13" t="s">
        <v>803</v>
      </c>
      <c r="E227" s="11" t="s">
        <v>251</v>
      </c>
      <c r="F227" s="13" t="s">
        <v>21</v>
      </c>
      <c r="G227" s="13" t="s">
        <v>246</v>
      </c>
      <c r="H227" s="13" t="s">
        <v>49</v>
      </c>
      <c r="I227" s="13" t="s">
        <v>351</v>
      </c>
      <c r="J227" s="13" t="s">
        <v>51</v>
      </c>
      <c r="K227" s="13" t="s">
        <v>52</v>
      </c>
      <c r="L227" s="13"/>
      <c r="M227" s="13"/>
      <c r="N227" s="13"/>
      <c r="O227" s="4" t="e">
        <f>VLOOKUP(ALL_Issues2[[#This Row],[EA Epic Link]],Table466[],2,FALSE)</f>
        <v>#N/A</v>
      </c>
      <c r="P227" s="4" t="str">
        <f>_xlfn.XLOOKUP(ALL_Issues2[[#This Row],[Epic Link]], Table35[Other Project Epic Links], Table35[EA Epic Links], ALL_Issues2[[#This Row],[Epic Link]])</f>
        <v>Contact Centre 2022</v>
      </c>
    </row>
    <row r="228" spans="1:16" ht="28.5" customHeight="1" x14ac:dyDescent="0.35">
      <c r="A228" s="12" t="s">
        <v>804</v>
      </c>
      <c r="B228" s="11" t="s">
        <v>55</v>
      </c>
      <c r="C228" s="13" t="s">
        <v>805</v>
      </c>
      <c r="D228" s="13"/>
      <c r="E228" s="11" t="s">
        <v>48</v>
      </c>
      <c r="F228" s="13" t="s">
        <v>21</v>
      </c>
      <c r="G228" s="13" t="s">
        <v>246</v>
      </c>
      <c r="H228" s="13" t="s">
        <v>212</v>
      </c>
      <c r="I228" s="13" t="s">
        <v>684</v>
      </c>
      <c r="J228" s="13" t="s">
        <v>94</v>
      </c>
      <c r="K228" s="13" t="s">
        <v>73</v>
      </c>
      <c r="L228" s="13" t="s">
        <v>476</v>
      </c>
      <c r="M228" s="13"/>
      <c r="N228" s="13"/>
      <c r="O228" s="4" t="str">
        <f>VLOOKUP(ALL_Issues2[[#This Row],[EA Epic Link]],Table466[],2,FALSE)</f>
        <v>Digital Delivery Portfolio</v>
      </c>
      <c r="P228" s="4" t="str">
        <f>_xlfn.XLOOKUP(ALL_Issues2[[#This Row],[Epic Link]], Table35[Other Project Epic Links], Table35[EA Epic Links], ALL_Issues2[[#This Row],[Epic Link]])</f>
        <v>Other Applications and Content Delivery Services</v>
      </c>
    </row>
    <row r="229" spans="1:16" ht="28.5" customHeight="1" x14ac:dyDescent="0.35">
      <c r="A229" s="12" t="s">
        <v>806</v>
      </c>
      <c r="B229" s="11" t="s">
        <v>17</v>
      </c>
      <c r="C229" s="13" t="s">
        <v>807</v>
      </c>
      <c r="D229" s="13" t="s">
        <v>808</v>
      </c>
      <c r="E229" s="11" t="s">
        <v>48</v>
      </c>
      <c r="F229" s="13" t="s">
        <v>58</v>
      </c>
      <c r="G229" s="13" t="s">
        <v>22</v>
      </c>
      <c r="H229" s="13" t="s">
        <v>102</v>
      </c>
      <c r="I229" s="13" t="s">
        <v>306</v>
      </c>
      <c r="J229" s="13" t="s">
        <v>51</v>
      </c>
      <c r="K229" s="13" t="s">
        <v>52</v>
      </c>
      <c r="L229" s="13"/>
      <c r="M229" s="13"/>
      <c r="N229" s="13"/>
      <c r="O229" s="4" t="str">
        <f>VLOOKUP(ALL_Issues2[[#This Row],[EA Epic Link]],Table466[],2,FALSE)</f>
        <v>IT Governance</v>
      </c>
      <c r="P229" s="4" t="str">
        <f>_xlfn.XLOOKUP(ALL_Issues2[[#This Row],[Epic Link]], Table35[Other Project Epic Links], Table35[EA Epic Links], ALL_Issues2[[#This Row],[Epic Link]])</f>
        <v>Projects and Initiatives spanning Portfolios</v>
      </c>
    </row>
    <row r="230" spans="1:16" ht="28.5" customHeight="1" x14ac:dyDescent="0.35">
      <c r="A230" s="12" t="s">
        <v>809</v>
      </c>
      <c r="B230" s="11" t="s">
        <v>17</v>
      </c>
      <c r="C230" s="13" t="s">
        <v>810</v>
      </c>
      <c r="D230" s="13" t="s">
        <v>811</v>
      </c>
      <c r="E230" s="11" t="s">
        <v>48</v>
      </c>
      <c r="F230" s="13" t="s">
        <v>21</v>
      </c>
      <c r="G230" s="13" t="s">
        <v>22</v>
      </c>
      <c r="H230" s="13" t="s">
        <v>415</v>
      </c>
      <c r="I230" s="13" t="s">
        <v>72</v>
      </c>
      <c r="J230" s="13" t="s">
        <v>51</v>
      </c>
      <c r="K230" s="13" t="s">
        <v>52</v>
      </c>
      <c r="L230" s="13"/>
      <c r="M230" s="13"/>
      <c r="N230" s="13"/>
      <c r="O230" s="4" t="str">
        <f>VLOOKUP(ALL_Issues2[[#This Row],[EA Epic Link]],Table466[],2,FALSE)</f>
        <v>Corporate Delivery Portfolio</v>
      </c>
      <c r="P230" s="4" t="str">
        <f>_xlfn.XLOOKUP(ALL_Issues2[[#This Row],[Epic Link]], Table35[Other Project Epic Links], Table35[EA Epic Links], ALL_Issues2[[#This Row],[Epic Link]])</f>
        <v>Investment Management</v>
      </c>
    </row>
    <row r="231" spans="1:16" ht="28.5" customHeight="1" x14ac:dyDescent="0.35">
      <c r="A231" s="12" t="s">
        <v>812</v>
      </c>
      <c r="B231" s="11" t="s">
        <v>17</v>
      </c>
      <c r="C231" s="13" t="s">
        <v>813</v>
      </c>
      <c r="D231" s="13"/>
      <c r="E231" s="11" t="s">
        <v>48</v>
      </c>
      <c r="F231" s="13" t="s">
        <v>21</v>
      </c>
      <c r="G231" s="13" t="s">
        <v>22</v>
      </c>
      <c r="H231" s="13" t="s">
        <v>29</v>
      </c>
      <c r="I231" s="13" t="s">
        <v>72</v>
      </c>
      <c r="J231" s="13" t="s">
        <v>51</v>
      </c>
      <c r="K231" s="13" t="s">
        <v>52</v>
      </c>
      <c r="L231" s="13"/>
      <c r="M231" s="13"/>
      <c r="N231" s="13"/>
      <c r="O231" s="4" t="str">
        <f>VLOOKUP(ALL_Issues2[[#This Row],[EA Epic Link]],Table466[],2,FALSE)</f>
        <v>Corporate Delivery Portfolio</v>
      </c>
      <c r="P231" s="4" t="str">
        <f>_xlfn.XLOOKUP(ALL_Issues2[[#This Row],[Epic Link]], Table35[Other Project Epic Links], Table35[EA Epic Links], ALL_Issues2[[#This Row],[Epic Link]])</f>
        <v>Investment Management</v>
      </c>
    </row>
    <row r="232" spans="1:16" ht="28.5" customHeight="1" x14ac:dyDescent="0.35">
      <c r="A232" s="12" t="s">
        <v>814</v>
      </c>
      <c r="B232" s="11" t="s">
        <v>46</v>
      </c>
      <c r="C232" s="13" t="s">
        <v>815</v>
      </c>
      <c r="D232" s="13" t="s">
        <v>816</v>
      </c>
      <c r="E232" s="11" t="s">
        <v>251</v>
      </c>
      <c r="F232" s="13" t="s">
        <v>58</v>
      </c>
      <c r="G232" s="13" t="s">
        <v>246</v>
      </c>
      <c r="H232" s="13" t="s">
        <v>66</v>
      </c>
      <c r="I232" s="13" t="s">
        <v>700</v>
      </c>
      <c r="J232" s="13" t="s">
        <v>65</v>
      </c>
      <c r="K232" s="13" t="s">
        <v>124</v>
      </c>
      <c r="L232" s="13" t="s">
        <v>67</v>
      </c>
      <c r="M232" s="13"/>
      <c r="N232" s="13"/>
      <c r="O232" s="4" t="e">
        <f>VLOOKUP(ALL_Issues2[[#This Row],[EA Epic Link]],Table466[],2,FALSE)</f>
        <v>#N/A</v>
      </c>
      <c r="P232" s="4" t="str">
        <f>_xlfn.XLOOKUP(ALL_Issues2[[#This Row],[Epic Link]], Table35[Other Project Epic Links], Table35[EA Epic Links], ALL_Issues2[[#This Row],[Epic Link]])</f>
        <v>End User Tools and Services 2022</v>
      </c>
    </row>
    <row r="233" spans="1:16" ht="28.5" customHeight="1" x14ac:dyDescent="0.35">
      <c r="A233" s="12" t="s">
        <v>817</v>
      </c>
      <c r="B233" s="11" t="s">
        <v>46</v>
      </c>
      <c r="C233" s="13" t="s">
        <v>818</v>
      </c>
      <c r="D233" s="13" t="s">
        <v>819</v>
      </c>
      <c r="E233" s="11" t="s">
        <v>20</v>
      </c>
      <c r="F233" s="13" t="s">
        <v>92</v>
      </c>
      <c r="G233" s="13" t="s">
        <v>193</v>
      </c>
      <c r="H233" s="13" t="s">
        <v>156</v>
      </c>
      <c r="I233" s="13" t="s">
        <v>820</v>
      </c>
      <c r="J233" s="13" t="s">
        <v>146</v>
      </c>
      <c r="K233" s="13" t="s">
        <v>124</v>
      </c>
      <c r="L233" s="13"/>
      <c r="M233" s="13"/>
      <c r="N233" s="13"/>
      <c r="O233" s="4" t="str">
        <f>VLOOKUP(ALL_Issues2[[#This Row],[EA Epic Link]],Table466[],2,FALSE)</f>
        <v>Infrastructure Delivery Portfolio</v>
      </c>
      <c r="P233" s="4" t="str">
        <f>_xlfn.XLOOKUP(ALL_Issues2[[#This Row],[Epic Link]], Table35[Other Project Epic Links], Table35[EA Epic Links], ALL_Issues2[[#This Row],[Epic Link]])</f>
        <v>Cloud Hosting</v>
      </c>
    </row>
    <row r="234" spans="1:16" ht="28.5" customHeight="1" x14ac:dyDescent="0.35">
      <c r="A234" s="12" t="s">
        <v>821</v>
      </c>
      <c r="B234" s="11" t="s">
        <v>46</v>
      </c>
      <c r="C234" s="13" t="s">
        <v>822</v>
      </c>
      <c r="D234" s="13" t="s">
        <v>823</v>
      </c>
      <c r="E234" s="11" t="s">
        <v>20</v>
      </c>
      <c r="F234" s="13" t="s">
        <v>405</v>
      </c>
      <c r="G234" s="13" t="s">
        <v>246</v>
      </c>
      <c r="H234" s="13" t="s">
        <v>124</v>
      </c>
      <c r="I234" s="13" t="s">
        <v>820</v>
      </c>
      <c r="J234" s="13" t="s">
        <v>146</v>
      </c>
      <c r="K234" s="13" t="s">
        <v>124</v>
      </c>
      <c r="L234" s="13"/>
      <c r="M234" s="13"/>
      <c r="N234" s="13"/>
      <c r="O234" s="4" t="str">
        <f>VLOOKUP(ALL_Issues2[[#This Row],[EA Epic Link]],Table466[],2,FALSE)</f>
        <v>Infrastructure Delivery Portfolio</v>
      </c>
      <c r="P234" s="4" t="str">
        <f>_xlfn.XLOOKUP(ALL_Issues2[[#This Row],[Epic Link]], Table35[Other Project Epic Links], Table35[EA Epic Links], ALL_Issues2[[#This Row],[Epic Link]])</f>
        <v>Cloud Hosting</v>
      </c>
    </row>
    <row r="235" spans="1:16" ht="28.5" customHeight="1" x14ac:dyDescent="0.35">
      <c r="A235" s="12" t="s">
        <v>824</v>
      </c>
      <c r="B235" s="11" t="s">
        <v>46</v>
      </c>
      <c r="C235" s="13" t="s">
        <v>825</v>
      </c>
      <c r="D235" s="13" t="s">
        <v>826</v>
      </c>
      <c r="E235" s="11" t="s">
        <v>20</v>
      </c>
      <c r="F235" s="13" t="s">
        <v>92</v>
      </c>
      <c r="G235" s="13" t="s">
        <v>246</v>
      </c>
      <c r="H235" s="13" t="s">
        <v>212</v>
      </c>
      <c r="I235" s="13" t="s">
        <v>820</v>
      </c>
      <c r="J235" s="13" t="s">
        <v>146</v>
      </c>
      <c r="K235" s="13" t="s">
        <v>73</v>
      </c>
      <c r="L235" s="13"/>
      <c r="M235" s="13"/>
      <c r="N235" s="13"/>
      <c r="O235" s="4" t="str">
        <f>VLOOKUP(ALL_Issues2[[#This Row],[EA Epic Link]],Table466[],2,FALSE)</f>
        <v>Infrastructure Delivery Portfolio</v>
      </c>
      <c r="P235" s="4" t="str">
        <f>_xlfn.XLOOKUP(ALL_Issues2[[#This Row],[Epic Link]], Table35[Other Project Epic Links], Table35[EA Epic Links], ALL_Issues2[[#This Row],[Epic Link]])</f>
        <v>Cloud Hosting</v>
      </c>
    </row>
    <row r="236" spans="1:16" ht="28.5" customHeight="1" x14ac:dyDescent="0.35">
      <c r="A236" s="12" t="s">
        <v>827</v>
      </c>
      <c r="B236" s="11" t="s">
        <v>46</v>
      </c>
      <c r="C236" s="13" t="s">
        <v>828</v>
      </c>
      <c r="D236" s="13" t="s">
        <v>829</v>
      </c>
      <c r="E236" s="11" t="s">
        <v>186</v>
      </c>
      <c r="F236" s="13" t="s">
        <v>405</v>
      </c>
      <c r="G236" s="13" t="s">
        <v>246</v>
      </c>
      <c r="H236" s="13" t="s">
        <v>124</v>
      </c>
      <c r="I236" s="13" t="s">
        <v>64</v>
      </c>
      <c r="J236" s="13" t="s">
        <v>65</v>
      </c>
      <c r="K236" s="13" t="s">
        <v>73</v>
      </c>
      <c r="L236" s="13"/>
      <c r="M236" s="13"/>
      <c r="N236" s="13"/>
      <c r="O236" s="4" t="str">
        <f>VLOOKUP(ALL_Issues2[[#This Row],[EA Epic Link]],Table466[],2,FALSE)</f>
        <v>Infrastructure Delivery Portfolio</v>
      </c>
      <c r="P236" s="4" t="str">
        <f>_xlfn.XLOOKUP(ALL_Issues2[[#This Row],[Epic Link]], Table35[Other Project Epic Links], Table35[EA Epic Links], ALL_Issues2[[#This Row],[Epic Link]])</f>
        <v>End User Device Management</v>
      </c>
    </row>
    <row r="237" spans="1:16" ht="28.5" customHeight="1" x14ac:dyDescent="0.35">
      <c r="A237" s="12" t="s">
        <v>830</v>
      </c>
      <c r="B237" s="11" t="s">
        <v>46</v>
      </c>
      <c r="C237" s="13" t="s">
        <v>831</v>
      </c>
      <c r="D237" s="13"/>
      <c r="E237" s="11" t="s">
        <v>20</v>
      </c>
      <c r="F237" s="13" t="s">
        <v>832</v>
      </c>
      <c r="G237" s="13" t="s">
        <v>246</v>
      </c>
      <c r="H237" s="13" t="s">
        <v>102</v>
      </c>
      <c r="I237" s="13" t="s">
        <v>64</v>
      </c>
      <c r="J237" s="13" t="s">
        <v>65</v>
      </c>
      <c r="K237" s="13" t="s">
        <v>52</v>
      </c>
      <c r="L237" s="13"/>
      <c r="M237" s="13"/>
      <c r="N237" s="13"/>
      <c r="O237" s="4" t="str">
        <f>VLOOKUP(ALL_Issues2[[#This Row],[EA Epic Link]],Table466[],2,FALSE)</f>
        <v>Infrastructure Delivery Portfolio</v>
      </c>
      <c r="P237" s="4" t="str">
        <f>_xlfn.XLOOKUP(ALL_Issues2[[#This Row],[Epic Link]], Table35[Other Project Epic Links], Table35[EA Epic Links], ALL_Issues2[[#This Row],[Epic Link]])</f>
        <v>End User Device Management</v>
      </c>
    </row>
    <row r="238" spans="1:16" ht="28.5" customHeight="1" x14ac:dyDescent="0.35">
      <c r="A238" s="12" t="s">
        <v>833</v>
      </c>
      <c r="B238" s="11" t="s">
        <v>46</v>
      </c>
      <c r="C238" s="13" t="s">
        <v>834</v>
      </c>
      <c r="D238" s="13"/>
      <c r="E238" s="11" t="s">
        <v>20</v>
      </c>
      <c r="F238" s="13" t="s">
        <v>58</v>
      </c>
      <c r="G238" s="13" t="s">
        <v>246</v>
      </c>
      <c r="H238" s="14" t="s">
        <v>59</v>
      </c>
      <c r="I238" s="13" t="s">
        <v>114</v>
      </c>
      <c r="J238" s="13" t="s">
        <v>51</v>
      </c>
      <c r="K238" s="13" t="s">
        <v>52</v>
      </c>
      <c r="L238" s="13"/>
      <c r="M238" s="13"/>
      <c r="N238" s="13"/>
      <c r="O238" s="4" t="str">
        <f>VLOOKUP(ALL_Issues2[[#This Row],[EA Epic Link]],Table466[],2,FALSE)</f>
        <v>Digital Delivery Portfolio</v>
      </c>
      <c r="P238" s="4" t="str">
        <f>_xlfn.XLOOKUP(ALL_Issues2[[#This Row],[Epic Link]], Table35[Other Project Epic Links], Table35[EA Epic Links], ALL_Issues2[[#This Row],[Epic Link]])</f>
        <v>IG Distribution and Marketing</v>
      </c>
    </row>
    <row r="239" spans="1:16" ht="28.5" customHeight="1" x14ac:dyDescent="0.35">
      <c r="A239" s="12" t="s">
        <v>835</v>
      </c>
      <c r="B239" s="11" t="s">
        <v>17</v>
      </c>
      <c r="C239" s="13" t="s">
        <v>836</v>
      </c>
      <c r="D239" s="13"/>
      <c r="E239" s="11" t="s">
        <v>20</v>
      </c>
      <c r="F239" s="13" t="s">
        <v>832</v>
      </c>
      <c r="G239" s="13" t="s">
        <v>193</v>
      </c>
      <c r="H239" s="13" t="s">
        <v>66</v>
      </c>
      <c r="I239" s="13" t="s">
        <v>202</v>
      </c>
      <c r="J239" s="13" t="s">
        <v>160</v>
      </c>
      <c r="K239" s="13" t="s">
        <v>124</v>
      </c>
      <c r="L239" s="13" t="s">
        <v>161</v>
      </c>
      <c r="M239" s="13"/>
      <c r="N239" s="13"/>
      <c r="O239" s="4" t="str">
        <f>VLOOKUP(ALL_Issues2[[#This Row],[EA Epic Link]],Table466[],2,FALSE)</f>
        <v>Security Delivery Portfolio</v>
      </c>
      <c r="P239" s="4" t="str">
        <f>_xlfn.XLOOKUP(ALL_Issues2[[#This Row],[Epic Link]], Table35[Other Project Epic Links], Table35[EA Epic Links], ALL_Issues2[[#This Row],[Epic Link]])</f>
        <v>Identity and Access</v>
      </c>
    </row>
    <row r="240" spans="1:16" ht="28.5" customHeight="1" x14ac:dyDescent="0.35">
      <c r="A240" s="12" t="s">
        <v>837</v>
      </c>
      <c r="B240" s="11" t="s">
        <v>46</v>
      </c>
      <c r="C240" s="13" t="s">
        <v>838</v>
      </c>
      <c r="D240" s="13"/>
      <c r="E240" s="11" t="s">
        <v>251</v>
      </c>
      <c r="F240" s="13" t="s">
        <v>832</v>
      </c>
      <c r="G240" s="13" t="s">
        <v>246</v>
      </c>
      <c r="H240" s="14" t="s">
        <v>59</v>
      </c>
      <c r="I240" s="13" t="s">
        <v>202</v>
      </c>
      <c r="J240" s="13" t="s">
        <v>160</v>
      </c>
      <c r="K240" s="13" t="s">
        <v>124</v>
      </c>
      <c r="L240" s="13"/>
      <c r="M240" s="13"/>
      <c r="N240" s="13"/>
      <c r="O240" s="4" t="str">
        <f>VLOOKUP(ALL_Issues2[[#This Row],[EA Epic Link]],Table466[],2,FALSE)</f>
        <v>Security Delivery Portfolio</v>
      </c>
      <c r="P240" s="4" t="str">
        <f>_xlfn.XLOOKUP(ALL_Issues2[[#This Row],[Epic Link]], Table35[Other Project Epic Links], Table35[EA Epic Links], ALL_Issues2[[#This Row],[Epic Link]])</f>
        <v>Identity and Access</v>
      </c>
    </row>
    <row r="241" spans="1:16" ht="28.5" customHeight="1" x14ac:dyDescent="0.35">
      <c r="A241" s="12" t="s">
        <v>839</v>
      </c>
      <c r="B241" s="11" t="s">
        <v>55</v>
      </c>
      <c r="C241" s="13" t="s">
        <v>840</v>
      </c>
      <c r="D241" s="13" t="s">
        <v>841</v>
      </c>
      <c r="E241" s="11" t="s">
        <v>20</v>
      </c>
      <c r="F241" s="13" t="s">
        <v>58</v>
      </c>
      <c r="G241" s="13" t="s">
        <v>193</v>
      </c>
      <c r="H241" s="13" t="s">
        <v>102</v>
      </c>
      <c r="I241" s="13" t="s">
        <v>301</v>
      </c>
      <c r="J241" s="13" t="s">
        <v>101</v>
      </c>
      <c r="K241" s="13" t="s">
        <v>52</v>
      </c>
      <c r="L241" s="13"/>
      <c r="M241" s="13"/>
      <c r="N241" s="13"/>
      <c r="O241" s="4" t="str">
        <f>VLOOKUP(ALL_Issues2[[#This Row],[EA Epic Link]],Table466[],2,FALSE)</f>
        <v>Digital Delivery Portfolio</v>
      </c>
      <c r="P241" s="4" t="str">
        <f>_xlfn.XLOOKUP(ALL_Issues2[[#This Row],[Epic Link]], Table35[Other Project Epic Links], Table35[EA Epic Links], ALL_Issues2[[#This Row],[Epic Link]])</f>
        <v>IGM Core Digital Platform</v>
      </c>
    </row>
    <row r="242" spans="1:16" ht="28.5" customHeight="1" x14ac:dyDescent="0.35">
      <c r="A242" s="12" t="s">
        <v>842</v>
      </c>
      <c r="B242" s="11" t="s">
        <v>46</v>
      </c>
      <c r="C242" s="13" t="s">
        <v>843</v>
      </c>
      <c r="D242" s="13"/>
      <c r="E242" s="11" t="s">
        <v>186</v>
      </c>
      <c r="F242" s="13" t="s">
        <v>58</v>
      </c>
      <c r="G242" s="13" t="s">
        <v>193</v>
      </c>
      <c r="H242" s="13" t="s">
        <v>241</v>
      </c>
      <c r="I242" s="13" t="s">
        <v>454</v>
      </c>
      <c r="J242" s="13" t="s">
        <v>51</v>
      </c>
      <c r="K242" s="13" t="s">
        <v>73</v>
      </c>
      <c r="L242" s="13"/>
      <c r="M242" s="13"/>
      <c r="N242" s="13"/>
      <c r="O242" s="4" t="str">
        <f>VLOOKUP(ALL_Issues2[[#This Row],[EA Epic Link]],Table466[],2,FALSE)</f>
        <v>Corporate Delivery Portfolio</v>
      </c>
      <c r="P242" s="4" t="str">
        <f>_xlfn.XLOOKUP(ALL_Issues2[[#This Row],[Epic Link]], Table35[Other Project Epic Links], Table35[EA Epic Links], ALL_Issues2[[#This Row],[Epic Link]])</f>
        <v>Transfer Agency</v>
      </c>
    </row>
    <row r="243" spans="1:16" ht="28.5" customHeight="1" x14ac:dyDescent="0.35">
      <c r="A243" s="12" t="s">
        <v>844</v>
      </c>
      <c r="B243" s="11" t="s">
        <v>46</v>
      </c>
      <c r="C243" s="13" t="s">
        <v>845</v>
      </c>
      <c r="D243" s="13" t="s">
        <v>846</v>
      </c>
      <c r="E243" s="11" t="s">
        <v>186</v>
      </c>
      <c r="F243" s="13" t="s">
        <v>58</v>
      </c>
      <c r="G243" s="13" t="s">
        <v>193</v>
      </c>
      <c r="H243" s="13" t="s">
        <v>365</v>
      </c>
      <c r="I243" s="13" t="s">
        <v>454</v>
      </c>
      <c r="J243" s="13" t="s">
        <v>51</v>
      </c>
      <c r="K243" s="13" t="s">
        <v>23</v>
      </c>
      <c r="L243" s="13"/>
      <c r="M243" s="13"/>
      <c r="N243" s="13"/>
      <c r="O243" s="4" t="str">
        <f>VLOOKUP(ALL_Issues2[[#This Row],[EA Epic Link]],Table466[],2,FALSE)</f>
        <v>Corporate Delivery Portfolio</v>
      </c>
      <c r="P243" s="4" t="str">
        <f>_xlfn.XLOOKUP(ALL_Issues2[[#This Row],[Epic Link]], Table35[Other Project Epic Links], Table35[EA Epic Links], ALL_Issues2[[#This Row],[Epic Link]])</f>
        <v>Transfer Agency</v>
      </c>
    </row>
    <row r="244" spans="1:16" ht="28.5" customHeight="1" x14ac:dyDescent="0.35">
      <c r="A244" s="12" t="s">
        <v>847</v>
      </c>
      <c r="B244" s="11" t="s">
        <v>17</v>
      </c>
      <c r="C244" s="13" t="s">
        <v>848</v>
      </c>
      <c r="D244" s="13" t="s">
        <v>849</v>
      </c>
      <c r="E244" s="11" t="s">
        <v>20</v>
      </c>
      <c r="F244" s="13" t="s">
        <v>832</v>
      </c>
      <c r="G244" s="13" t="s">
        <v>22</v>
      </c>
      <c r="H244" s="13" t="s">
        <v>102</v>
      </c>
      <c r="I244" s="13" t="s">
        <v>114</v>
      </c>
      <c r="J244" s="13" t="s">
        <v>51</v>
      </c>
      <c r="K244" s="13" t="s">
        <v>52</v>
      </c>
      <c r="L244" s="13"/>
      <c r="M244" s="13"/>
      <c r="N244" s="13"/>
      <c r="O244" s="4" t="str">
        <f>VLOOKUP(ALL_Issues2[[#This Row],[EA Epic Link]],Table466[],2,FALSE)</f>
        <v>Digital Delivery Portfolio</v>
      </c>
      <c r="P244" s="4" t="str">
        <f>_xlfn.XLOOKUP(ALL_Issues2[[#This Row],[Epic Link]], Table35[Other Project Epic Links], Table35[EA Epic Links], ALL_Issues2[[#This Row],[Epic Link]])</f>
        <v>IG Distribution and Marketing</v>
      </c>
    </row>
    <row r="245" spans="1:16" ht="28.5" customHeight="1" x14ac:dyDescent="0.35">
      <c r="A245" s="12" t="s">
        <v>850</v>
      </c>
      <c r="B245" s="11" t="s">
        <v>17</v>
      </c>
      <c r="C245" s="13" t="s">
        <v>851</v>
      </c>
      <c r="D245" s="13"/>
      <c r="E245" s="11" t="s">
        <v>20</v>
      </c>
      <c r="F245" s="13" t="s">
        <v>832</v>
      </c>
      <c r="G245" s="13" t="s">
        <v>193</v>
      </c>
      <c r="H245" s="14" t="s">
        <v>102</v>
      </c>
      <c r="I245" s="13" t="s">
        <v>114</v>
      </c>
      <c r="J245" s="13" t="s">
        <v>51</v>
      </c>
      <c r="K245" s="13" t="s">
        <v>52</v>
      </c>
      <c r="L245" s="13"/>
      <c r="M245" s="13"/>
      <c r="N245" s="13"/>
      <c r="O245" s="10" t="str">
        <f>VLOOKUP(ALL_Issues2[[#This Row],[EA Epic Link]],Table466[],2,FALSE)</f>
        <v>Digital Delivery Portfolio</v>
      </c>
      <c r="P245" s="10" t="str">
        <f>_xlfn.XLOOKUP(ALL_Issues2[[#This Row],[Epic Link]], Table35[Other Project Epic Links], Table35[EA Epic Links], ALL_Issues2[[#This Row],[Epic Link]])</f>
        <v>IG Distribution and Marketing</v>
      </c>
    </row>
    <row r="246" spans="1:16" ht="28.5" customHeight="1" x14ac:dyDescent="0.35">
      <c r="A246" s="12" t="s">
        <v>852</v>
      </c>
      <c r="B246" s="11" t="s">
        <v>55</v>
      </c>
      <c r="C246" s="13" t="s">
        <v>853</v>
      </c>
      <c r="D246" s="13" t="s">
        <v>854</v>
      </c>
      <c r="E246" s="11" t="s">
        <v>48</v>
      </c>
      <c r="F246" s="13" t="s">
        <v>21</v>
      </c>
      <c r="G246" s="13" t="s">
        <v>246</v>
      </c>
      <c r="H246" s="14" t="s">
        <v>172</v>
      </c>
      <c r="I246" s="13" t="s">
        <v>574</v>
      </c>
      <c r="J246" s="13" t="s">
        <v>51</v>
      </c>
      <c r="K246" s="13" t="s">
        <v>52</v>
      </c>
      <c r="L246" s="13"/>
      <c r="M246" s="13"/>
      <c r="N246" s="13"/>
      <c r="O246" s="10" t="str">
        <f>VLOOKUP(ALL_Issues2[[#This Row],[EA Epic Link]],Table466[],2,FALSE)</f>
        <v>Corporate Delivery Portfolio</v>
      </c>
      <c r="P246" s="10" t="str">
        <f>_xlfn.XLOOKUP(ALL_Issues2[[#This Row],[Epic Link]], Table35[Other Project Epic Links], Table35[EA Epic Links], ALL_Issues2[[#This Row],[Epic Link]])</f>
        <v>Consultant Admin</v>
      </c>
    </row>
    <row r="247" spans="1:16" ht="28.5" customHeight="1" x14ac:dyDescent="0.35">
      <c r="A247" s="12" t="s">
        <v>855</v>
      </c>
      <c r="B247" s="11" t="s">
        <v>55</v>
      </c>
      <c r="C247" s="13" t="s">
        <v>856</v>
      </c>
      <c r="D247" s="13" t="s">
        <v>857</v>
      </c>
      <c r="E247" s="11" t="s">
        <v>186</v>
      </c>
      <c r="F247" s="13" t="s">
        <v>58</v>
      </c>
      <c r="G247" s="13" t="s">
        <v>193</v>
      </c>
      <c r="H247" s="14" t="s">
        <v>365</v>
      </c>
      <c r="I247" s="13" t="s">
        <v>480</v>
      </c>
      <c r="J247" s="13" t="s">
        <v>51</v>
      </c>
      <c r="K247" s="13" t="s">
        <v>23</v>
      </c>
      <c r="L247" s="13"/>
      <c r="M247" s="13"/>
      <c r="N247" s="13"/>
      <c r="O247" s="10" t="str">
        <f>VLOOKUP(ALL_Issues2[[#This Row],[EA Epic Link]],Table466[],2,FALSE)</f>
        <v>Corporate Delivery Portfolio</v>
      </c>
      <c r="P247" s="10" t="str">
        <f>_xlfn.XLOOKUP(ALL_Issues2[[#This Row],[Epic Link]], Table35[Other Project Epic Links], Table35[EA Epic Links], ALL_Issues2[[#This Row],[Epic Link]])</f>
        <v>Dealer Platform</v>
      </c>
    </row>
    <row r="248" spans="1:16" ht="28.5" customHeight="1" x14ac:dyDescent="0.35">
      <c r="A248" s="12" t="s">
        <v>858</v>
      </c>
      <c r="B248" s="11" t="s">
        <v>17</v>
      </c>
      <c r="C248" s="13" t="s">
        <v>859</v>
      </c>
      <c r="D248" s="13" t="s">
        <v>860</v>
      </c>
      <c r="E248" s="11" t="s">
        <v>186</v>
      </c>
      <c r="F248" s="13" t="s">
        <v>832</v>
      </c>
      <c r="G248" s="13" t="s">
        <v>22</v>
      </c>
      <c r="H248" s="14" t="s">
        <v>281</v>
      </c>
      <c r="I248" s="13" t="s">
        <v>252</v>
      </c>
      <c r="J248" s="13" t="s">
        <v>51</v>
      </c>
      <c r="K248" s="13" t="s">
        <v>23</v>
      </c>
      <c r="L248" s="13"/>
      <c r="M248" s="13"/>
      <c r="N248" s="13"/>
      <c r="O248" s="10" t="str">
        <f>VLOOKUP(ALL_Issues2[[#This Row],[EA Epic Link]],Table466[],2,FALSE)</f>
        <v>Corporate Delivery Portfolio</v>
      </c>
      <c r="P248" s="10" t="str">
        <f>_xlfn.XLOOKUP(ALL_Issues2[[#This Row],[Epic Link]], Table35[Other Project Epic Links], Table35[EA Epic Links], ALL_Issues2[[#This Row],[Epic Link]])</f>
        <v>Governance, Risk and Compliance</v>
      </c>
    </row>
  </sheetData>
  <phoneticPr fontId="4" type="noConversion"/>
  <hyperlinks>
    <hyperlink ref="A2" r:id="rId1" display="https://jira.igm.tools/browse/MOP-25" xr:uid="{00000000-0004-0000-0000-000000000000}"/>
    <hyperlink ref="A3" r:id="rId2" display="https://jira.igm.tools/browse/MOP-24" xr:uid="{00000000-0004-0000-0000-000001000000}"/>
    <hyperlink ref="A4" r:id="rId3" display="https://jira.igm.tools/browse/MOP-23" xr:uid="{00000000-0004-0000-0000-000002000000}"/>
    <hyperlink ref="A5" r:id="rId4" display="https://jira.igm.tools/browse/MOP-22" xr:uid="{00000000-0004-0000-0000-000003000000}"/>
    <hyperlink ref="A6" r:id="rId5" display="https://jira.igm.tools/browse/MOP-21" xr:uid="{00000000-0004-0000-0000-000004000000}"/>
    <hyperlink ref="A7" r:id="rId6" display="https://jira.igm.tools/browse/MOP-20" xr:uid="{00000000-0004-0000-0000-000005000000}"/>
    <hyperlink ref="A8" r:id="rId7" display="https://jira.igm.tools/browse/EA-1245" xr:uid="{00000000-0004-0000-0000-000006000000}"/>
    <hyperlink ref="A9" r:id="rId8" display="https://jira.igm.tools/browse/EA-1244" xr:uid="{00000000-0004-0000-0000-000007000000}"/>
    <hyperlink ref="A10" r:id="rId9" display="https://jira.igm.tools/browse/EA-1243" xr:uid="{00000000-0004-0000-0000-000008000000}"/>
    <hyperlink ref="A11" r:id="rId10" display="https://jira.igm.tools/browse/EA-1242" xr:uid="{00000000-0004-0000-0000-000009000000}"/>
    <hyperlink ref="A12" r:id="rId11" display="https://jira.igm.tools/browse/EA-1241" xr:uid="{00000000-0004-0000-0000-00000A000000}"/>
    <hyperlink ref="A13" r:id="rId12" display="https://jira.igm.tools/browse/EA-1238" xr:uid="{00000000-0004-0000-0000-00000B000000}"/>
    <hyperlink ref="A14" r:id="rId13" display="https://jira.igm.tools/browse/EA-1237" xr:uid="{00000000-0004-0000-0000-00000C000000}"/>
    <hyperlink ref="A15" r:id="rId14" display="https://jira.igm.tools/browse/EA-1236" xr:uid="{00000000-0004-0000-0000-00000D000000}"/>
    <hyperlink ref="A16" r:id="rId15" display="https://jira.igm.tools/browse/EA-1235" xr:uid="{00000000-0004-0000-0000-00000E000000}"/>
    <hyperlink ref="A17" r:id="rId16" display="https://jira.igm.tools/browse/EA-1234" xr:uid="{00000000-0004-0000-0000-00000F000000}"/>
    <hyperlink ref="A18" r:id="rId17" display="https://jira.igm.tools/browse/EA-1233" xr:uid="{00000000-0004-0000-0000-000010000000}"/>
    <hyperlink ref="A19" r:id="rId18" display="https://jira.igm.tools/browse/EA-1232" xr:uid="{00000000-0004-0000-0000-000011000000}"/>
    <hyperlink ref="A20" r:id="rId19" display="https://jira.igm.tools/browse/EA-1227" xr:uid="{00000000-0004-0000-0000-000012000000}"/>
    <hyperlink ref="A21" r:id="rId20" display="https://jira.igm.tools/browse/EA-1226" xr:uid="{00000000-0004-0000-0000-000013000000}"/>
    <hyperlink ref="A22" r:id="rId21" display="https://jira.igm.tools/browse/EA-1224" xr:uid="{00000000-0004-0000-0000-000014000000}"/>
    <hyperlink ref="A23" r:id="rId22" display="https://jira.igm.tools/browse/EA-1221" xr:uid="{00000000-0004-0000-0000-000015000000}"/>
    <hyperlink ref="A24" r:id="rId23" display="https://jira.igm.tools/browse/EA-1219" xr:uid="{00000000-0004-0000-0000-000016000000}"/>
    <hyperlink ref="A25" r:id="rId24" display="https://jira.igm.tools/browse/EA-1217" xr:uid="{00000000-0004-0000-0000-000017000000}"/>
    <hyperlink ref="A26" r:id="rId25" display="https://jira.igm.tools/browse/EA-1215" xr:uid="{00000000-0004-0000-0000-000018000000}"/>
    <hyperlink ref="A27" r:id="rId26" display="https://jira.igm.tools/browse/EA-1214" xr:uid="{00000000-0004-0000-0000-000019000000}"/>
    <hyperlink ref="A28" r:id="rId27" display="https://jira.igm.tools/browse/EA-1213" xr:uid="{00000000-0004-0000-0000-00001A000000}"/>
    <hyperlink ref="A29" r:id="rId28" display="https://jira.igm.tools/browse/EA-1212" xr:uid="{00000000-0004-0000-0000-00001B000000}"/>
    <hyperlink ref="A30" r:id="rId29" display="https://jira.igm.tools/browse/EA-1211" xr:uid="{00000000-0004-0000-0000-00001C000000}"/>
    <hyperlink ref="A31" r:id="rId30" display="https://jira.igm.tools/browse/EA-1209" xr:uid="{00000000-0004-0000-0000-00001D000000}"/>
    <hyperlink ref="A32" r:id="rId31" display="https://jira.igm.tools/browse/EA-1208" xr:uid="{00000000-0004-0000-0000-00001E000000}"/>
    <hyperlink ref="A33" r:id="rId32" display="https://jira.igm.tools/browse/EA-1206" xr:uid="{00000000-0004-0000-0000-00001F000000}"/>
    <hyperlink ref="A34" r:id="rId33" display="https://jira.igm.tools/browse/EA-1205" xr:uid="{00000000-0004-0000-0000-000020000000}"/>
    <hyperlink ref="A35" r:id="rId34" display="https://jira.igm.tools/browse/EA-1204" xr:uid="{00000000-0004-0000-0000-000021000000}"/>
    <hyperlink ref="A36" r:id="rId35" display="https://jira.igm.tools/browse/EA-1202" xr:uid="{00000000-0004-0000-0000-000022000000}"/>
    <hyperlink ref="A37" r:id="rId36" display="https://jira.igm.tools/browse/EA-1198" xr:uid="{00000000-0004-0000-0000-000023000000}"/>
    <hyperlink ref="A38" r:id="rId37" display="https://jira.igm.tools/browse/EA-1197" xr:uid="{00000000-0004-0000-0000-000024000000}"/>
    <hyperlink ref="A39" r:id="rId38" display="https://jira.igm.tools/browse/EA-1193" xr:uid="{00000000-0004-0000-0000-000025000000}"/>
    <hyperlink ref="A40" r:id="rId39" display="https://jira.igm.tools/browse/EA-1192" xr:uid="{00000000-0004-0000-0000-000026000000}"/>
    <hyperlink ref="A41" r:id="rId40" display="https://jira.igm.tools/browse/EA-1191" xr:uid="{00000000-0004-0000-0000-000027000000}"/>
    <hyperlink ref="A42" r:id="rId41" display="https://jira.igm.tools/browse/EA-1189" xr:uid="{00000000-0004-0000-0000-000028000000}"/>
    <hyperlink ref="A43" r:id="rId42" display="https://jira.igm.tools/browse/EA-1186" xr:uid="{00000000-0004-0000-0000-000029000000}"/>
    <hyperlink ref="A44" r:id="rId43" display="https://jira.igm.tools/browse/EA-1185" xr:uid="{00000000-0004-0000-0000-00002A000000}"/>
    <hyperlink ref="A45" r:id="rId44" display="https://jira.igm.tools/browse/EA-1184" xr:uid="{00000000-0004-0000-0000-00002B000000}"/>
    <hyperlink ref="A46" r:id="rId45" display="https://jira.igm.tools/browse/EA-1182" xr:uid="{00000000-0004-0000-0000-00002C000000}"/>
    <hyperlink ref="A47" r:id="rId46" display="https://jira.igm.tools/browse/EA-1180" xr:uid="{00000000-0004-0000-0000-00002D000000}"/>
    <hyperlink ref="A48" r:id="rId47" display="https://jira.igm.tools/browse/EA-1179" xr:uid="{00000000-0004-0000-0000-00002E000000}"/>
    <hyperlink ref="A49" r:id="rId48" display="https://jira.igm.tools/browse/EA-1178" xr:uid="{00000000-0004-0000-0000-00002F000000}"/>
    <hyperlink ref="A50" r:id="rId49" display="https://jira.igm.tools/browse/EA-1177" xr:uid="{00000000-0004-0000-0000-000030000000}"/>
    <hyperlink ref="A51" r:id="rId50" display="https://jira.igm.tools/browse/EA-1146" xr:uid="{00000000-0004-0000-0000-000031000000}"/>
    <hyperlink ref="A52" r:id="rId51" display="https://jira.igm.tools/browse/EA-1145" xr:uid="{00000000-0004-0000-0000-000032000000}"/>
    <hyperlink ref="A53" r:id="rId52" display="https://jira.igm.tools/browse/EA-1144" xr:uid="{00000000-0004-0000-0000-000033000000}"/>
    <hyperlink ref="A54" r:id="rId53" display="https://jira.igm.tools/browse/EA-1142" xr:uid="{00000000-0004-0000-0000-000034000000}"/>
    <hyperlink ref="A55" r:id="rId54" display="https://jira.igm.tools/browse/EA-1141" xr:uid="{00000000-0004-0000-0000-000035000000}"/>
    <hyperlink ref="A56" r:id="rId55" display="https://jira.igm.tools/browse/EA-1140" xr:uid="{00000000-0004-0000-0000-000036000000}"/>
    <hyperlink ref="A57" r:id="rId56" display="https://jira.igm.tools/browse/EA-1139" xr:uid="{00000000-0004-0000-0000-000037000000}"/>
    <hyperlink ref="A58" r:id="rId57" display="https://jira.igm.tools/browse/EA-1138" xr:uid="{00000000-0004-0000-0000-000038000000}"/>
    <hyperlink ref="A59" r:id="rId58" display="https://jira.igm.tools/browse/EA-1137" xr:uid="{00000000-0004-0000-0000-000039000000}"/>
    <hyperlink ref="A60" r:id="rId59" display="https://jira.igm.tools/browse/EA-1136" xr:uid="{00000000-0004-0000-0000-00003A000000}"/>
    <hyperlink ref="A61" r:id="rId60" display="https://jira.igm.tools/browse/EA-1135" xr:uid="{00000000-0004-0000-0000-00003B000000}"/>
    <hyperlink ref="A62" r:id="rId61" display="https://jira.igm.tools/browse/EA-1131" xr:uid="{00000000-0004-0000-0000-00003C000000}"/>
    <hyperlink ref="A63" r:id="rId62" display="https://jira.igm.tools/browse/EA-1130" xr:uid="{00000000-0004-0000-0000-00003D000000}"/>
    <hyperlink ref="A64" r:id="rId63" display="https://jira.igm.tools/browse/EA-1129" xr:uid="{00000000-0004-0000-0000-00003E000000}"/>
    <hyperlink ref="A65" r:id="rId64" display="https://jira.igm.tools/browse/EA-1127" xr:uid="{00000000-0004-0000-0000-00003F000000}"/>
    <hyperlink ref="A66" r:id="rId65" display="https://jira.igm.tools/browse/EA-1125" xr:uid="{00000000-0004-0000-0000-000040000000}"/>
    <hyperlink ref="A67" r:id="rId66" display="https://jira.igm.tools/browse/EA-1121" xr:uid="{00000000-0004-0000-0000-000041000000}"/>
    <hyperlink ref="A68" r:id="rId67" display="https://jira.igm.tools/browse/EA-1120" xr:uid="{00000000-0004-0000-0000-000042000000}"/>
    <hyperlink ref="A69" r:id="rId68" display="https://jira.igm.tools/browse/EA-1116" xr:uid="{00000000-0004-0000-0000-000043000000}"/>
    <hyperlink ref="A70" r:id="rId69" display="https://jira.igm.tools/browse/EA-1112" xr:uid="{00000000-0004-0000-0000-000044000000}"/>
    <hyperlink ref="A71" r:id="rId70" display="https://jira.igm.tools/browse/EA-1106" xr:uid="{00000000-0004-0000-0000-000045000000}"/>
    <hyperlink ref="A72" r:id="rId71" display="https://jira.igm.tools/browse/EA-1103" xr:uid="{00000000-0004-0000-0000-000046000000}"/>
    <hyperlink ref="A73" r:id="rId72" display="https://jira.igm.tools/browse/EA-1101" xr:uid="{00000000-0004-0000-0000-000047000000}"/>
    <hyperlink ref="A74" r:id="rId73" display="https://jira.igm.tools/browse/EA-1100" xr:uid="{00000000-0004-0000-0000-000048000000}"/>
    <hyperlink ref="A75" r:id="rId74" display="https://jira.igm.tools/browse/EA-1099" xr:uid="{00000000-0004-0000-0000-000049000000}"/>
    <hyperlink ref="A76" r:id="rId75" display="https://jira.igm.tools/browse/EA-1097" xr:uid="{00000000-0004-0000-0000-00004A000000}"/>
    <hyperlink ref="A77" r:id="rId76" display="https://jira.igm.tools/browse/EA-1096" xr:uid="{00000000-0004-0000-0000-00004B000000}"/>
    <hyperlink ref="A78" r:id="rId77" display="https://jira.igm.tools/browse/EA-1095" xr:uid="{00000000-0004-0000-0000-00004C000000}"/>
    <hyperlink ref="A79" r:id="rId78" display="https://jira.igm.tools/browse/EA-1094" xr:uid="{00000000-0004-0000-0000-00004D000000}"/>
    <hyperlink ref="A80" r:id="rId79" display="https://jira.igm.tools/browse/EA-1093" xr:uid="{00000000-0004-0000-0000-00004E000000}"/>
    <hyperlink ref="A81" r:id="rId80" display="https://jira.igm.tools/browse/EA-1092" xr:uid="{00000000-0004-0000-0000-00004F000000}"/>
    <hyperlink ref="A82" r:id="rId81" display="https://jira.igm.tools/browse/EA-1090" xr:uid="{00000000-0004-0000-0000-000050000000}"/>
    <hyperlink ref="A83" r:id="rId82" display="https://jira.igm.tools/browse/EA-1088" xr:uid="{00000000-0004-0000-0000-000051000000}"/>
    <hyperlink ref="A84" r:id="rId83" display="https://jira.igm.tools/browse/EA-1087" xr:uid="{00000000-0004-0000-0000-000052000000}"/>
    <hyperlink ref="A85" r:id="rId84" display="https://jira.igm.tools/browse/EA-1084" xr:uid="{00000000-0004-0000-0000-000053000000}"/>
    <hyperlink ref="A86" r:id="rId85" display="https://jira.igm.tools/browse/EA-1081" xr:uid="{00000000-0004-0000-0000-000054000000}"/>
    <hyperlink ref="A87" r:id="rId86" display="https://jira.igm.tools/browse/EA-1078" xr:uid="{00000000-0004-0000-0000-000055000000}"/>
    <hyperlink ref="A88" r:id="rId87" display="https://jira.igm.tools/browse/EA-1077" xr:uid="{00000000-0004-0000-0000-000056000000}"/>
    <hyperlink ref="A89" r:id="rId88" display="https://jira.igm.tools/browse/EA-1076" xr:uid="{00000000-0004-0000-0000-000057000000}"/>
    <hyperlink ref="A90" r:id="rId89" display="https://jira.igm.tools/browse/EA-1069" xr:uid="{00000000-0004-0000-0000-000058000000}"/>
    <hyperlink ref="A91" r:id="rId90" display="https://jira.igm.tools/browse/EA-1067" xr:uid="{00000000-0004-0000-0000-000059000000}"/>
    <hyperlink ref="A92" r:id="rId91" display="https://jira.igm.tools/browse/EA-1066" xr:uid="{00000000-0004-0000-0000-00005A000000}"/>
    <hyperlink ref="A93" r:id="rId92" display="https://jira.igm.tools/browse/EA-1063" xr:uid="{00000000-0004-0000-0000-00005B000000}"/>
    <hyperlink ref="A94" r:id="rId93" display="https://jira.igm.tools/browse/EA-1062" xr:uid="{00000000-0004-0000-0000-00005C000000}"/>
    <hyperlink ref="A95" r:id="rId94" display="https://jira.igm.tools/browse/EA-1058" xr:uid="{00000000-0004-0000-0000-00005D000000}"/>
    <hyperlink ref="A96" r:id="rId95" display="https://jira.igm.tools/browse/EA-1053" xr:uid="{00000000-0004-0000-0000-00005E000000}"/>
    <hyperlink ref="A97" r:id="rId96" display="https://jira.igm.tools/browse/EA-1052" xr:uid="{00000000-0004-0000-0000-00005F000000}"/>
    <hyperlink ref="A98" r:id="rId97" display="https://jira.igm.tools/browse/EA-1051" xr:uid="{00000000-0004-0000-0000-000060000000}"/>
    <hyperlink ref="A99" r:id="rId98" display="https://jira.igm.tools/browse/EA-1050" xr:uid="{00000000-0004-0000-0000-000061000000}"/>
    <hyperlink ref="A100" r:id="rId99" display="https://jira.igm.tools/browse/EA-1048" xr:uid="{00000000-0004-0000-0000-000062000000}"/>
    <hyperlink ref="A101" r:id="rId100" display="https://jira.igm.tools/browse/EA-1044" xr:uid="{00000000-0004-0000-0000-000063000000}"/>
    <hyperlink ref="A102" r:id="rId101" display="https://jira.igm.tools/browse/EA-1043" xr:uid="{00000000-0004-0000-0000-000064000000}"/>
    <hyperlink ref="A103" r:id="rId102" display="https://jira.igm.tools/browse/EA-1042" xr:uid="{00000000-0004-0000-0000-000065000000}"/>
    <hyperlink ref="A104" r:id="rId103" display="https://jira.igm.tools/browse/EA-1041" xr:uid="{00000000-0004-0000-0000-000066000000}"/>
    <hyperlink ref="A105" r:id="rId104" display="https://jira.igm.tools/browse/EA-1040" xr:uid="{00000000-0004-0000-0000-000067000000}"/>
    <hyperlink ref="A106" r:id="rId105" display="https://jira.igm.tools/browse/EA-1038" xr:uid="{00000000-0004-0000-0000-000068000000}"/>
    <hyperlink ref="A107" r:id="rId106" display="https://jira.igm.tools/browse/EA-1036" xr:uid="{00000000-0004-0000-0000-000069000000}"/>
    <hyperlink ref="A108" r:id="rId107" display="https://jira.igm.tools/browse/EA-1034" xr:uid="{00000000-0004-0000-0000-00006A000000}"/>
    <hyperlink ref="A109" r:id="rId108" display="https://jira.igm.tools/browse/EA-1032" xr:uid="{00000000-0004-0000-0000-00006B000000}"/>
    <hyperlink ref="A110" r:id="rId109" display="https://jira.igm.tools/browse/EA-1025" xr:uid="{00000000-0004-0000-0000-00006C000000}"/>
    <hyperlink ref="A111" r:id="rId110" display="https://jira.igm.tools/browse/EA-1023" xr:uid="{00000000-0004-0000-0000-00006D000000}"/>
    <hyperlink ref="A112" r:id="rId111" display="https://jira.igm.tools/browse/EA-1018" xr:uid="{00000000-0004-0000-0000-00006E000000}"/>
    <hyperlink ref="A113" r:id="rId112" display="https://jira.igm.tools/browse/EA-1017" xr:uid="{00000000-0004-0000-0000-00006F000000}"/>
    <hyperlink ref="A114" r:id="rId113" display="https://jira.igm.tools/browse/EA-1015" xr:uid="{00000000-0004-0000-0000-000070000000}"/>
    <hyperlink ref="A115" r:id="rId114" display="https://jira.igm.tools/browse/EA-1011" xr:uid="{00000000-0004-0000-0000-000071000000}"/>
    <hyperlink ref="A116" r:id="rId115" display="https://jira.igm.tools/browse/EA-1008" xr:uid="{00000000-0004-0000-0000-000072000000}"/>
    <hyperlink ref="A117" r:id="rId116" display="https://jira.igm.tools/browse/EA-1004" xr:uid="{00000000-0004-0000-0000-000073000000}"/>
    <hyperlink ref="A118" r:id="rId117" display="https://jira.igm.tools/browse/EA-1002" xr:uid="{00000000-0004-0000-0000-000074000000}"/>
    <hyperlink ref="A119" r:id="rId118" display="https://jira.igm.tools/browse/EA-1000" xr:uid="{00000000-0004-0000-0000-000075000000}"/>
    <hyperlink ref="A120" r:id="rId119" display="https://jira.igm.tools/browse/EA-998" xr:uid="{00000000-0004-0000-0000-000076000000}"/>
    <hyperlink ref="A121" r:id="rId120" display="https://jira.igm.tools/browse/EA-996" xr:uid="{00000000-0004-0000-0000-000077000000}"/>
    <hyperlink ref="A122" r:id="rId121" display="https://jira.igm.tools/browse/EA-994" xr:uid="{00000000-0004-0000-0000-000078000000}"/>
    <hyperlink ref="A123" r:id="rId122" display="https://jira.igm.tools/browse/EA-993" xr:uid="{00000000-0004-0000-0000-000079000000}"/>
    <hyperlink ref="A124" r:id="rId123" display="https://jira.igm.tools/browse/EA-986" xr:uid="{00000000-0004-0000-0000-00007A000000}"/>
    <hyperlink ref="A125" r:id="rId124" display="https://jira.igm.tools/browse/EA-982" xr:uid="{00000000-0004-0000-0000-00007B000000}"/>
    <hyperlink ref="A126" r:id="rId125" display="https://jira.igm.tools/browse/EA-976" xr:uid="{00000000-0004-0000-0000-00007C000000}"/>
    <hyperlink ref="A127" r:id="rId126" display="https://jira.igm.tools/browse/EA-969" xr:uid="{00000000-0004-0000-0000-00007D000000}"/>
    <hyperlink ref="A128" r:id="rId127" display="https://jira.igm.tools/browse/EA-968" xr:uid="{00000000-0004-0000-0000-00007E000000}"/>
    <hyperlink ref="A129" r:id="rId128" display="https://jira.igm.tools/browse/EA-966" xr:uid="{00000000-0004-0000-0000-00007F000000}"/>
    <hyperlink ref="A130" r:id="rId129" display="https://jira.igm.tools/browse/EA-964" xr:uid="{00000000-0004-0000-0000-000080000000}"/>
    <hyperlink ref="A131" r:id="rId130" display="https://jira.igm.tools/browse/EA-959" xr:uid="{00000000-0004-0000-0000-000081000000}"/>
    <hyperlink ref="A132" r:id="rId131" display="https://jira.igm.tools/browse/EA-955" xr:uid="{00000000-0004-0000-0000-000082000000}"/>
    <hyperlink ref="A133" r:id="rId132" display="https://jira.igm.tools/browse/EA-953" xr:uid="{00000000-0004-0000-0000-000083000000}"/>
    <hyperlink ref="A134" r:id="rId133" display="https://jira.igm.tools/browse/EA-949" xr:uid="{00000000-0004-0000-0000-000084000000}"/>
    <hyperlink ref="A135" r:id="rId134" display="https://jira.igm.tools/browse/EA-946" xr:uid="{00000000-0004-0000-0000-000085000000}"/>
    <hyperlink ref="A136" r:id="rId135" display="https://jira.igm.tools/browse/EA-940" xr:uid="{00000000-0004-0000-0000-000086000000}"/>
    <hyperlink ref="A137" r:id="rId136" display="https://jira.igm.tools/browse/EA-936" xr:uid="{00000000-0004-0000-0000-000087000000}"/>
    <hyperlink ref="A138" r:id="rId137" display="https://jira.igm.tools/browse/EA-935" xr:uid="{00000000-0004-0000-0000-000088000000}"/>
    <hyperlink ref="A139" r:id="rId138" display="https://jira.igm.tools/browse/EA-934" xr:uid="{00000000-0004-0000-0000-000089000000}"/>
    <hyperlink ref="A140" r:id="rId139" display="https://jira.igm.tools/browse/EA-933" xr:uid="{00000000-0004-0000-0000-00008A000000}"/>
    <hyperlink ref="A141" r:id="rId140" display="https://jira.igm.tools/browse/EA-932" xr:uid="{00000000-0004-0000-0000-00008B000000}"/>
    <hyperlink ref="A142" r:id="rId141" display="https://jira.igm.tools/browse/EA-931" xr:uid="{00000000-0004-0000-0000-00008C000000}"/>
    <hyperlink ref="A143" r:id="rId142" display="https://jira.igm.tools/browse/EA-930" xr:uid="{00000000-0004-0000-0000-00008D000000}"/>
    <hyperlink ref="A144" r:id="rId143" display="https://jira.igm.tools/browse/EA-923" xr:uid="{00000000-0004-0000-0000-00008E000000}"/>
    <hyperlink ref="A145" r:id="rId144" display="https://jira.igm.tools/browse/EA-922" xr:uid="{00000000-0004-0000-0000-00008F000000}"/>
    <hyperlink ref="A146" r:id="rId145" display="https://jira.igm.tools/browse/EA-921" xr:uid="{00000000-0004-0000-0000-000090000000}"/>
    <hyperlink ref="A147" r:id="rId146" display="https://jira.igm.tools/browse/EA-916" xr:uid="{00000000-0004-0000-0000-000091000000}"/>
    <hyperlink ref="A148" r:id="rId147" display="https://jira.igm.tools/browse/EA-911" xr:uid="{00000000-0004-0000-0000-000092000000}"/>
    <hyperlink ref="A149" r:id="rId148" display="https://jira.igm.tools/browse/EA-910" xr:uid="{00000000-0004-0000-0000-000093000000}"/>
    <hyperlink ref="A150" r:id="rId149" display="https://jira.igm.tools/browse/EA-907" xr:uid="{00000000-0004-0000-0000-000094000000}"/>
    <hyperlink ref="A151" r:id="rId150" display="https://jira.igm.tools/browse/EA-904" xr:uid="{00000000-0004-0000-0000-000095000000}"/>
    <hyperlink ref="A152" r:id="rId151" display="https://jira.igm.tools/browse/EA-902" xr:uid="{00000000-0004-0000-0000-000096000000}"/>
    <hyperlink ref="A153" r:id="rId152" display="https://jira.igm.tools/browse/EA-897" xr:uid="{00000000-0004-0000-0000-000097000000}"/>
    <hyperlink ref="A154" r:id="rId153" display="https://jira.igm.tools/browse/EA-896" xr:uid="{00000000-0004-0000-0000-000098000000}"/>
    <hyperlink ref="A155" r:id="rId154" display="https://jira.igm.tools/browse/EA-895" xr:uid="{00000000-0004-0000-0000-000099000000}"/>
    <hyperlink ref="A156" r:id="rId155" display="https://jira.igm.tools/browse/EA-893" xr:uid="{00000000-0004-0000-0000-00009A000000}"/>
    <hyperlink ref="A157" r:id="rId156" display="https://jira.igm.tools/browse/EA-892" xr:uid="{00000000-0004-0000-0000-00009B000000}"/>
    <hyperlink ref="A158" r:id="rId157" display="https://jira.igm.tools/browse/EA-890" xr:uid="{00000000-0004-0000-0000-00009C000000}"/>
    <hyperlink ref="A159" r:id="rId158" display="https://jira.igm.tools/browse/EA-888" xr:uid="{00000000-0004-0000-0000-00009D000000}"/>
    <hyperlink ref="A160" r:id="rId159" display="https://jira.igm.tools/browse/EA-884" xr:uid="{00000000-0004-0000-0000-00009E000000}"/>
    <hyperlink ref="A161" r:id="rId160" display="https://jira.igm.tools/browse/EA-869" xr:uid="{00000000-0004-0000-0000-00009F000000}"/>
    <hyperlink ref="A162" r:id="rId161" display="https://jira.igm.tools/browse/EA-862" xr:uid="{00000000-0004-0000-0000-0000A0000000}"/>
    <hyperlink ref="A163" r:id="rId162" display="https://jira.igm.tools/browse/EA-857" xr:uid="{00000000-0004-0000-0000-0000A1000000}"/>
    <hyperlink ref="A164" r:id="rId163" display="https://jira.igm.tools/browse/EA-850" xr:uid="{00000000-0004-0000-0000-0000A2000000}"/>
    <hyperlink ref="A165" r:id="rId164" display="https://jira.igm.tools/browse/EA-848" xr:uid="{00000000-0004-0000-0000-0000A3000000}"/>
    <hyperlink ref="A166" r:id="rId165" display="https://jira.igm.tools/browse/EA-846" xr:uid="{00000000-0004-0000-0000-0000A4000000}"/>
    <hyperlink ref="A167" r:id="rId166" display="https://jira.igm.tools/browse/EA-841" xr:uid="{00000000-0004-0000-0000-0000A5000000}"/>
    <hyperlink ref="A168" r:id="rId167" display="https://jira.igm.tools/browse/EA-840" xr:uid="{00000000-0004-0000-0000-0000A6000000}"/>
    <hyperlink ref="A169" r:id="rId168" display="https://jira.igm.tools/browse/EA-833" xr:uid="{00000000-0004-0000-0000-0000A7000000}"/>
    <hyperlink ref="A170" r:id="rId169" display="https://jira.igm.tools/browse/EA-831" xr:uid="{00000000-0004-0000-0000-0000A8000000}"/>
    <hyperlink ref="A171" r:id="rId170" display="https://jira.igm.tools/browse/EA-811" xr:uid="{00000000-0004-0000-0000-0000A9000000}"/>
    <hyperlink ref="A172" r:id="rId171" display="https://jira.igm.tools/browse/EA-809" xr:uid="{00000000-0004-0000-0000-0000AA000000}"/>
    <hyperlink ref="A173" r:id="rId172" display="https://jira.igm.tools/browse/EA-806" xr:uid="{00000000-0004-0000-0000-0000AB000000}"/>
    <hyperlink ref="A174" r:id="rId173" display="https://jira.igm.tools/browse/EA-796" xr:uid="{00000000-0004-0000-0000-0000AC000000}"/>
    <hyperlink ref="A175" r:id="rId174" display="https://jira.igm.tools/browse/EA-793" xr:uid="{00000000-0004-0000-0000-0000AD000000}"/>
    <hyperlink ref="A176" r:id="rId175" display="https://jira.igm.tools/browse/EA-792" xr:uid="{00000000-0004-0000-0000-0000AE000000}"/>
    <hyperlink ref="A177" r:id="rId176" display="https://jira.igm.tools/browse/EA-791" xr:uid="{00000000-0004-0000-0000-0000AF000000}"/>
    <hyperlink ref="A178" r:id="rId177" display="https://jira.igm.tools/browse/EA-789" xr:uid="{00000000-0004-0000-0000-0000B0000000}"/>
    <hyperlink ref="A179" r:id="rId178" display="https://jira.igm.tools/browse/EA-784" xr:uid="{00000000-0004-0000-0000-0000B1000000}"/>
    <hyperlink ref="A180" r:id="rId179" display="https://jira.igm.tools/browse/EA-782" xr:uid="{00000000-0004-0000-0000-0000B2000000}"/>
    <hyperlink ref="A181" r:id="rId180" display="https://jira.igm.tools/browse/EA-781" xr:uid="{00000000-0004-0000-0000-0000B3000000}"/>
    <hyperlink ref="A182" r:id="rId181" display="https://jira.igm.tools/browse/EA-776" xr:uid="{00000000-0004-0000-0000-0000B4000000}"/>
    <hyperlink ref="A183" r:id="rId182" display="https://jira.igm.tools/browse/EA-775" xr:uid="{00000000-0004-0000-0000-0000B5000000}"/>
    <hyperlink ref="A184" r:id="rId183" display="https://jira.igm.tools/browse/EA-773" xr:uid="{00000000-0004-0000-0000-0000B6000000}"/>
    <hyperlink ref="A185" r:id="rId184" display="https://jira.igm.tools/browse/EA-772" xr:uid="{00000000-0004-0000-0000-0000B7000000}"/>
    <hyperlink ref="A186" r:id="rId185" display="https://jira.igm.tools/browse/EA-770" xr:uid="{00000000-0004-0000-0000-0000B8000000}"/>
    <hyperlink ref="A187" r:id="rId186" display="https://jira.igm.tools/browse/EA-769" xr:uid="{00000000-0004-0000-0000-0000B9000000}"/>
    <hyperlink ref="A188" r:id="rId187" display="https://jira.igm.tools/browse/EA-768" xr:uid="{00000000-0004-0000-0000-0000BA000000}"/>
    <hyperlink ref="A189" r:id="rId188" display="https://jira.igm.tools/browse/EA-764" xr:uid="{00000000-0004-0000-0000-0000BB000000}"/>
    <hyperlink ref="A190" r:id="rId189" display="https://jira.igm.tools/browse/EA-760" xr:uid="{00000000-0004-0000-0000-0000BC000000}"/>
    <hyperlink ref="A191" r:id="rId190" display="https://jira.igm.tools/browse/EA-757" xr:uid="{00000000-0004-0000-0000-0000BD000000}"/>
    <hyperlink ref="A192" r:id="rId191" display="https://jira.igm.tools/browse/EA-749" xr:uid="{00000000-0004-0000-0000-0000BE000000}"/>
    <hyperlink ref="A193" r:id="rId192" display="https://jira.igm.tools/browse/EA-746" xr:uid="{00000000-0004-0000-0000-0000BF000000}"/>
    <hyperlink ref="A194" r:id="rId193" display="https://jira.igm.tools/browse/EA-744" xr:uid="{00000000-0004-0000-0000-0000C0000000}"/>
    <hyperlink ref="A195" r:id="rId194" display="https://jira.igm.tools/browse/EA-740" xr:uid="{00000000-0004-0000-0000-0000C1000000}"/>
    <hyperlink ref="A196" r:id="rId195" display="https://jira.igm.tools/browse/EA-739" xr:uid="{00000000-0004-0000-0000-0000C2000000}"/>
    <hyperlink ref="A197" r:id="rId196" display="https://jira.igm.tools/browse/EA-737" xr:uid="{00000000-0004-0000-0000-0000C3000000}"/>
    <hyperlink ref="A198" r:id="rId197" display="https://jira.igm.tools/browse/EA-734" xr:uid="{00000000-0004-0000-0000-0000C4000000}"/>
    <hyperlink ref="A199" r:id="rId198" display="https://jira.igm.tools/browse/EA-719" xr:uid="{00000000-0004-0000-0000-0000C5000000}"/>
    <hyperlink ref="A200" r:id="rId199" display="https://jira.igm.tools/browse/EA-718" xr:uid="{00000000-0004-0000-0000-0000C6000000}"/>
    <hyperlink ref="A201" r:id="rId200" display="https://jira.igm.tools/browse/EA-714" xr:uid="{00000000-0004-0000-0000-0000C7000000}"/>
    <hyperlink ref="A202" r:id="rId201" display="https://jira.igm.tools/browse/EA-704" xr:uid="{00000000-0004-0000-0000-0000C8000000}"/>
    <hyperlink ref="A203" r:id="rId202" display="https://jira.igm.tools/browse/EA-703" xr:uid="{00000000-0004-0000-0000-0000C9000000}"/>
    <hyperlink ref="A204" r:id="rId203" display="https://jira.igm.tools/browse/EA-702" xr:uid="{00000000-0004-0000-0000-0000CA000000}"/>
    <hyperlink ref="A205" r:id="rId204" display="https://jira.igm.tools/browse/EA-698" xr:uid="{00000000-0004-0000-0000-0000CB000000}"/>
    <hyperlink ref="A206" r:id="rId205" display="https://jira.igm.tools/browse/EA-697" xr:uid="{00000000-0004-0000-0000-0000CC000000}"/>
    <hyperlink ref="A207" r:id="rId206" display="https://jira.igm.tools/browse/EA-695" xr:uid="{00000000-0004-0000-0000-0000CD000000}"/>
    <hyperlink ref="A208" r:id="rId207" display="https://jira.igm.tools/browse/EA-691" xr:uid="{00000000-0004-0000-0000-0000CE000000}"/>
    <hyperlink ref="A209" r:id="rId208" display="https://jira.igm.tools/browse/EA-657" xr:uid="{00000000-0004-0000-0000-0000CF000000}"/>
    <hyperlink ref="A210" r:id="rId209" display="https://jira.igm.tools/browse/EA-655" xr:uid="{00000000-0004-0000-0000-0000D0000000}"/>
    <hyperlink ref="A211" r:id="rId210" display="https://jira.igm.tools/browse/EA-649" xr:uid="{00000000-0004-0000-0000-0000D1000000}"/>
    <hyperlink ref="A212" r:id="rId211" display="https://jira.igm.tools/browse/EA-600" xr:uid="{00000000-0004-0000-0000-0000D2000000}"/>
    <hyperlink ref="A213" r:id="rId212" display="https://jira.igm.tools/browse/EA-586" xr:uid="{00000000-0004-0000-0000-0000D3000000}"/>
    <hyperlink ref="A214" r:id="rId213" display="https://jira.igm.tools/browse/EA-584" xr:uid="{00000000-0004-0000-0000-0000D4000000}"/>
    <hyperlink ref="A215" r:id="rId214" display="https://jira.igm.tools/browse/EA-580" xr:uid="{00000000-0004-0000-0000-0000D5000000}"/>
    <hyperlink ref="A216" r:id="rId215" display="https://jira.igm.tools/browse/EA-579" xr:uid="{00000000-0004-0000-0000-0000D6000000}"/>
    <hyperlink ref="A217" r:id="rId216" display="https://jira.igm.tools/browse/EA-578" xr:uid="{00000000-0004-0000-0000-0000D7000000}"/>
    <hyperlink ref="A218" r:id="rId217" display="https://jira.igm.tools/browse/EA-576" xr:uid="{00000000-0004-0000-0000-0000D8000000}"/>
    <hyperlink ref="A219" r:id="rId218" display="https://jira.igm.tools/browse/EA-575" xr:uid="{00000000-0004-0000-0000-0000D9000000}"/>
    <hyperlink ref="A220" r:id="rId219" display="https://jira.igm.tools/browse/EA-573" xr:uid="{00000000-0004-0000-0000-0000DA000000}"/>
    <hyperlink ref="A221" r:id="rId220" display="https://jira.igm.tools/browse/EA-572" xr:uid="{00000000-0004-0000-0000-0000DB000000}"/>
    <hyperlink ref="A222" r:id="rId221" display="https://jira.igm.tools/browse/EA-566" xr:uid="{00000000-0004-0000-0000-0000DC000000}"/>
    <hyperlink ref="A223" r:id="rId222" display="https://jira.igm.tools/browse/EA-559" xr:uid="{00000000-0004-0000-0000-0000DD000000}"/>
    <hyperlink ref="A224" r:id="rId223" display="https://jira.igm.tools/browse/EA-544" xr:uid="{00000000-0004-0000-0000-0000DE000000}"/>
    <hyperlink ref="A225" r:id="rId224" display="https://jira.igm.tools/browse/EA-534" xr:uid="{00000000-0004-0000-0000-0000DF000000}"/>
    <hyperlink ref="A226" r:id="rId225" display="https://jira.igm.tools/browse/EA-525" xr:uid="{00000000-0004-0000-0000-0000E0000000}"/>
    <hyperlink ref="A227" r:id="rId226" display="https://jira.igm.tools/browse/EA-524" xr:uid="{00000000-0004-0000-0000-0000E1000000}"/>
    <hyperlink ref="A228" r:id="rId227" display="https://jira.igm.tools/browse/EA-503" xr:uid="{00000000-0004-0000-0000-0000E2000000}"/>
    <hyperlink ref="A229" r:id="rId228" display="https://jira.igm.tools/browse/EA-453" xr:uid="{00000000-0004-0000-0000-0000E3000000}"/>
    <hyperlink ref="A230" r:id="rId229" display="https://jira.igm.tools/browse/EA-446" xr:uid="{00000000-0004-0000-0000-0000E4000000}"/>
    <hyperlink ref="A231" r:id="rId230" display="https://jira.igm.tools/browse/EA-394" xr:uid="{00000000-0004-0000-0000-0000E5000000}"/>
    <hyperlink ref="A232" r:id="rId231" display="https://jira.igm.tools/browse/EA-382" xr:uid="{00000000-0004-0000-0000-0000E6000000}"/>
    <hyperlink ref="A233" r:id="rId232" display="https://jira.igm.tools/browse/EA-380" xr:uid="{00000000-0004-0000-0000-0000E7000000}"/>
    <hyperlink ref="A234" r:id="rId233" display="https://jira.igm.tools/browse/EA-379" xr:uid="{00000000-0004-0000-0000-0000E8000000}"/>
    <hyperlink ref="A235" r:id="rId234" display="https://jira.igm.tools/browse/EA-378" xr:uid="{00000000-0004-0000-0000-0000E9000000}"/>
    <hyperlink ref="A236" r:id="rId235" display="https://jira.igm.tools/browse/EA-371" xr:uid="{00000000-0004-0000-0000-0000EA000000}"/>
    <hyperlink ref="A237" r:id="rId236" display="https://jira.igm.tools/browse/EA-362" xr:uid="{00000000-0004-0000-0000-0000EB000000}"/>
    <hyperlink ref="A238" r:id="rId237" display="https://jira.igm.tools/browse/EA-359" xr:uid="{00000000-0004-0000-0000-0000EC000000}"/>
    <hyperlink ref="A239" r:id="rId238" display="https://jira.igm.tools/browse/EA-349" xr:uid="{00000000-0004-0000-0000-0000ED000000}"/>
    <hyperlink ref="A240" r:id="rId239" display="https://jira.igm.tools/browse/EA-347" xr:uid="{00000000-0004-0000-0000-0000EE000000}"/>
    <hyperlink ref="A241" r:id="rId240" display="https://jira.igm.tools/browse/EA-322" xr:uid="{00000000-0004-0000-0000-0000EF000000}"/>
    <hyperlink ref="A242" r:id="rId241" display="https://jira.igm.tools/browse/EA-295" xr:uid="{00000000-0004-0000-0000-0000F0000000}"/>
    <hyperlink ref="A243" r:id="rId242" display="https://jira.igm.tools/browse/EA-283" xr:uid="{00000000-0004-0000-0000-0000F1000000}"/>
    <hyperlink ref="A244" r:id="rId243" display="https://jira.igm.tools/browse/EA-195" xr:uid="{00000000-0004-0000-0000-0000F2000000}"/>
    <hyperlink ref="A245" r:id="rId244" display="https://jira.igm.tools/browse/EA-178" xr:uid="{00000000-0004-0000-0000-0000F3000000}"/>
    <hyperlink ref="A246" r:id="rId245" display="https://jira.igm.tools/browse/EA-126" xr:uid="{00000000-0004-0000-0000-0000F4000000}"/>
    <hyperlink ref="A247" r:id="rId246" display="https://jira.igm.tools/browse/EA-92" xr:uid="{00000000-0004-0000-0000-0000F5000000}"/>
    <hyperlink ref="A248" r:id="rId247" display="https://jira.igm.tools/browse/EA-74" xr:uid="{00000000-0004-0000-0000-0000F6000000}"/>
  </hyperlinks>
  <pageMargins left="0.7" right="0.7" top="0.75" bottom="0.75" header="0.3" footer="0.3"/>
  <pageSetup orientation="portrait" r:id="rId248"/>
  <tableParts count="1">
    <tablePart r:id="rId24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FE9C3-3546-498A-8714-9DF5FE4F8A69}">
  <sheetPr codeName="Sheet10">
    <tabColor rgb="FF7030A0"/>
  </sheetPr>
  <dimension ref="A1:B42"/>
  <sheetViews>
    <sheetView topLeftCell="A16" workbookViewId="0">
      <selection activeCell="B16" sqref="B16"/>
    </sheetView>
  </sheetViews>
  <sheetFormatPr defaultColWidth="8.7265625" defaultRowHeight="14.5" x14ac:dyDescent="0.35"/>
  <cols>
    <col min="1" max="1" width="45" bestFit="1" customWidth="1"/>
    <col min="2" max="2" width="35.1796875" customWidth="1"/>
  </cols>
  <sheetData>
    <row r="1" spans="1:2" x14ac:dyDescent="0.35">
      <c r="A1" t="s">
        <v>861</v>
      </c>
      <c r="B1" t="s">
        <v>862</v>
      </c>
    </row>
    <row r="2" spans="1:2" x14ac:dyDescent="0.35">
      <c r="A2" t="s">
        <v>480</v>
      </c>
      <c r="B2" t="s">
        <v>863</v>
      </c>
    </row>
    <row r="3" spans="1:2" x14ac:dyDescent="0.35">
      <c r="A3" t="s">
        <v>277</v>
      </c>
      <c r="B3" t="s">
        <v>863</v>
      </c>
    </row>
    <row r="4" spans="1:2" x14ac:dyDescent="0.35">
      <c r="A4" t="s">
        <v>282</v>
      </c>
      <c r="B4" t="s">
        <v>863</v>
      </c>
    </row>
    <row r="5" spans="1:2" x14ac:dyDescent="0.35">
      <c r="A5" t="s">
        <v>574</v>
      </c>
      <c r="B5" t="s">
        <v>863</v>
      </c>
    </row>
    <row r="6" spans="1:2" x14ac:dyDescent="0.35">
      <c r="A6" t="s">
        <v>72</v>
      </c>
      <c r="B6" t="s">
        <v>863</v>
      </c>
    </row>
    <row r="7" spans="1:2" x14ac:dyDescent="0.35">
      <c r="A7" t="s">
        <v>864</v>
      </c>
      <c r="B7" t="s">
        <v>863</v>
      </c>
    </row>
    <row r="8" spans="1:2" x14ac:dyDescent="0.35">
      <c r="A8" t="s">
        <v>252</v>
      </c>
      <c r="B8" t="s">
        <v>863</v>
      </c>
    </row>
    <row r="9" spans="1:2" x14ac:dyDescent="0.35">
      <c r="A9" t="s">
        <v>454</v>
      </c>
      <c r="B9" t="s">
        <v>863</v>
      </c>
    </row>
    <row r="10" spans="1:2" x14ac:dyDescent="0.35">
      <c r="A10" t="s">
        <v>242</v>
      </c>
      <c r="B10" t="s">
        <v>863</v>
      </c>
    </row>
    <row r="11" spans="1:2" x14ac:dyDescent="0.35">
      <c r="A11" t="s">
        <v>141</v>
      </c>
      <c r="B11" t="s">
        <v>863</v>
      </c>
    </row>
    <row r="12" spans="1:2" x14ac:dyDescent="0.35">
      <c r="A12" t="s">
        <v>173</v>
      </c>
      <c r="B12" t="s">
        <v>863</v>
      </c>
    </row>
    <row r="13" spans="1:2" x14ac:dyDescent="0.35">
      <c r="A13" t="s">
        <v>865</v>
      </c>
      <c r="B13" t="s">
        <v>863</v>
      </c>
    </row>
    <row r="14" spans="1:2" x14ac:dyDescent="0.35">
      <c r="A14" t="s">
        <v>50</v>
      </c>
      <c r="B14" t="s">
        <v>863</v>
      </c>
    </row>
    <row r="15" spans="1:2" x14ac:dyDescent="0.35">
      <c r="A15" t="s">
        <v>135</v>
      </c>
      <c r="B15" t="s">
        <v>863</v>
      </c>
    </row>
    <row r="16" spans="1:2" x14ac:dyDescent="0.35">
      <c r="A16" t="s">
        <v>866</v>
      </c>
      <c r="B16" t="s">
        <v>867</v>
      </c>
    </row>
    <row r="17" spans="1:2" x14ac:dyDescent="0.35">
      <c r="A17" t="s">
        <v>194</v>
      </c>
      <c r="B17" t="s">
        <v>867</v>
      </c>
    </row>
    <row r="18" spans="1:2" x14ac:dyDescent="0.35">
      <c r="A18" t="s">
        <v>868</v>
      </c>
      <c r="B18" t="s">
        <v>867</v>
      </c>
    </row>
    <row r="19" spans="1:2" x14ac:dyDescent="0.35">
      <c r="A19" t="s">
        <v>343</v>
      </c>
      <c r="B19" t="s">
        <v>867</v>
      </c>
    </row>
    <row r="20" spans="1:2" x14ac:dyDescent="0.35">
      <c r="A20" t="s">
        <v>684</v>
      </c>
      <c r="B20" t="s">
        <v>869</v>
      </c>
    </row>
    <row r="21" spans="1:2" x14ac:dyDescent="0.35">
      <c r="A21" t="s">
        <v>100</v>
      </c>
      <c r="B21" t="s">
        <v>869</v>
      </c>
    </row>
    <row r="22" spans="1:2" x14ac:dyDescent="0.35">
      <c r="A22" t="s">
        <v>114</v>
      </c>
      <c r="B22" t="s">
        <v>869</v>
      </c>
    </row>
    <row r="23" spans="1:2" x14ac:dyDescent="0.35">
      <c r="A23" t="s">
        <v>301</v>
      </c>
      <c r="B23" t="s">
        <v>869</v>
      </c>
    </row>
    <row r="24" spans="1:2" x14ac:dyDescent="0.35">
      <c r="A24" t="s">
        <v>324</v>
      </c>
      <c r="B24" t="s">
        <v>870</v>
      </c>
    </row>
    <row r="25" spans="1:2" x14ac:dyDescent="0.35">
      <c r="A25" t="s">
        <v>107</v>
      </c>
      <c r="B25" t="s">
        <v>870</v>
      </c>
    </row>
    <row r="26" spans="1:2" x14ac:dyDescent="0.35">
      <c r="A26" t="s">
        <v>123</v>
      </c>
      <c r="B26" t="s">
        <v>870</v>
      </c>
    </row>
    <row r="27" spans="1:2" x14ac:dyDescent="0.35">
      <c r="A27" t="s">
        <v>820</v>
      </c>
      <c r="B27" t="s">
        <v>870</v>
      </c>
    </row>
    <row r="28" spans="1:2" x14ac:dyDescent="0.35">
      <c r="A28" t="s">
        <v>234</v>
      </c>
      <c r="B28" t="s">
        <v>870</v>
      </c>
    </row>
    <row r="29" spans="1:2" x14ac:dyDescent="0.35">
      <c r="A29" t="s">
        <v>247</v>
      </c>
      <c r="B29" t="s">
        <v>870</v>
      </c>
    </row>
    <row r="30" spans="1:2" x14ac:dyDescent="0.35">
      <c r="A30" t="s">
        <v>94</v>
      </c>
      <c r="B30" t="s">
        <v>870</v>
      </c>
    </row>
    <row r="31" spans="1:2" x14ac:dyDescent="0.35">
      <c r="A31" t="s">
        <v>64</v>
      </c>
      <c r="B31" t="s">
        <v>870</v>
      </c>
    </row>
    <row r="32" spans="1:2" x14ac:dyDescent="0.35">
      <c r="A32" t="s">
        <v>224</v>
      </c>
      <c r="B32" t="s">
        <v>871</v>
      </c>
    </row>
    <row r="33" spans="1:2" x14ac:dyDescent="0.35">
      <c r="A33" t="s">
        <v>498</v>
      </c>
      <c r="B33" t="s">
        <v>871</v>
      </c>
    </row>
    <row r="34" spans="1:2" x14ac:dyDescent="0.35">
      <c r="A34" t="s">
        <v>619</v>
      </c>
      <c r="B34" t="s">
        <v>871</v>
      </c>
    </row>
    <row r="35" spans="1:2" x14ac:dyDescent="0.35">
      <c r="A35" t="s">
        <v>872</v>
      </c>
      <c r="B35" t="s">
        <v>871</v>
      </c>
    </row>
    <row r="36" spans="1:2" x14ac:dyDescent="0.35">
      <c r="A36" t="s">
        <v>873</v>
      </c>
      <c r="B36" t="s">
        <v>871</v>
      </c>
    </row>
    <row r="37" spans="1:2" x14ac:dyDescent="0.35">
      <c r="A37" t="s">
        <v>874</v>
      </c>
      <c r="B37" t="s">
        <v>871</v>
      </c>
    </row>
    <row r="38" spans="1:2" x14ac:dyDescent="0.35">
      <c r="A38" t="s">
        <v>420</v>
      </c>
      <c r="B38" t="s">
        <v>871</v>
      </c>
    </row>
    <row r="39" spans="1:2" x14ac:dyDescent="0.35">
      <c r="A39" t="s">
        <v>160</v>
      </c>
      <c r="B39" t="s">
        <v>875</v>
      </c>
    </row>
    <row r="40" spans="1:2" x14ac:dyDescent="0.35">
      <c r="A40" t="s">
        <v>202</v>
      </c>
      <c r="B40" t="s">
        <v>875</v>
      </c>
    </row>
    <row r="41" spans="1:2" x14ac:dyDescent="0.35">
      <c r="A41" t="s">
        <v>769</v>
      </c>
      <c r="B41" s="7" t="s">
        <v>876</v>
      </c>
    </row>
    <row r="42" spans="1:2" x14ac:dyDescent="0.35">
      <c r="A42" s="6">
        <v>44981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791D7-BC0C-4220-B445-B32BBB6E2737}">
  <sheetPr>
    <tabColor rgb="FF7030A0"/>
  </sheetPr>
  <dimension ref="A1:C11"/>
  <sheetViews>
    <sheetView workbookViewId="0">
      <selection activeCell="D11" sqref="D11"/>
    </sheetView>
  </sheetViews>
  <sheetFormatPr defaultRowHeight="14.5" x14ac:dyDescent="0.35"/>
  <cols>
    <col min="2" max="2" width="35.453125" customWidth="1"/>
    <col min="3" max="3" width="38.81640625" customWidth="1"/>
  </cols>
  <sheetData>
    <row r="1" spans="1:3" x14ac:dyDescent="0.35">
      <c r="B1" t="s">
        <v>877</v>
      </c>
      <c r="C1" t="s">
        <v>878</v>
      </c>
    </row>
    <row r="2" spans="1:3" x14ac:dyDescent="0.35">
      <c r="A2" s="9" t="s">
        <v>879</v>
      </c>
      <c r="B2" t="s">
        <v>24</v>
      </c>
      <c r="C2" t="s">
        <v>72</v>
      </c>
    </row>
    <row r="3" spans="1:3" x14ac:dyDescent="0.35">
      <c r="A3" s="9"/>
      <c r="B3" t="s">
        <v>880</v>
      </c>
      <c r="C3" t="s">
        <v>72</v>
      </c>
    </row>
    <row r="4" spans="1:3" x14ac:dyDescent="0.35">
      <c r="A4" s="9"/>
      <c r="B4" t="s">
        <v>881</v>
      </c>
      <c r="C4" t="s">
        <v>72</v>
      </c>
    </row>
    <row r="5" spans="1:3" x14ac:dyDescent="0.35">
      <c r="A5" s="9"/>
      <c r="B5" t="s">
        <v>36</v>
      </c>
      <c r="C5" t="s">
        <v>72</v>
      </c>
    </row>
    <row r="6" spans="1:3" x14ac:dyDescent="0.35">
      <c r="A6" s="9"/>
      <c r="B6" t="s">
        <v>882</v>
      </c>
      <c r="C6" t="s">
        <v>72</v>
      </c>
    </row>
    <row r="7" spans="1:3" x14ac:dyDescent="0.35">
      <c r="A7" s="9"/>
      <c r="B7" t="s">
        <v>883</v>
      </c>
      <c r="C7" t="s">
        <v>72</v>
      </c>
    </row>
    <row r="8" spans="1:3" x14ac:dyDescent="0.35">
      <c r="A8" s="9"/>
      <c r="B8" t="s">
        <v>884</v>
      </c>
      <c r="C8" t="s">
        <v>72</v>
      </c>
    </row>
    <row r="9" spans="1:3" x14ac:dyDescent="0.35">
      <c r="A9" s="9"/>
      <c r="B9" t="s">
        <v>885</v>
      </c>
      <c r="C9" t="s">
        <v>72</v>
      </c>
    </row>
    <row r="10" spans="1:3" x14ac:dyDescent="0.35">
      <c r="A10" s="9"/>
      <c r="B10" t="s">
        <v>44</v>
      </c>
      <c r="C10" t="s">
        <v>72</v>
      </c>
    </row>
    <row r="11" spans="1:3" x14ac:dyDescent="0.35">
      <c r="A11" s="9"/>
      <c r="B11" t="s">
        <v>886</v>
      </c>
      <c r="C11" t="s">
        <v>72</v>
      </c>
    </row>
  </sheetData>
  <mergeCells count="1">
    <mergeCell ref="A2:A11"/>
  </mergeCells>
  <phoneticPr fontId="4"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5A7A93913EB9A4E8EBB25BF08E0DA78" ma:contentTypeVersion="12" ma:contentTypeDescription="Create a new document." ma:contentTypeScope="" ma:versionID="039a4d6ce5cc103044a40a6cc3f56bb2">
  <xsd:schema xmlns:xsd="http://www.w3.org/2001/XMLSchema" xmlns:xs="http://www.w3.org/2001/XMLSchema" xmlns:p="http://schemas.microsoft.com/office/2006/metadata/properties" xmlns:ns2="2987678c-4999-4dcf-9362-4042f46b7ad0" xmlns:ns3="89b1cf01-4db1-4652-ac8e-cc10d0dd7262" targetNamespace="http://schemas.microsoft.com/office/2006/metadata/properties" ma:root="true" ma:fieldsID="03a3cf7a4f9508dd3e7ffe3a016b9864" ns2:_="" ns3:_="">
    <xsd:import namespace="2987678c-4999-4dcf-9362-4042f46b7ad0"/>
    <xsd:import namespace="89b1cf01-4db1-4652-ac8e-cc10d0dd726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87678c-4999-4dcf-9362-4042f46b7ad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9b1cf01-4db1-4652-ac8e-cc10d0dd726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87F3E1-A2F0-41A5-9F00-DE884A91FF5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029171A-2A1F-4EB8-AC6F-67259421538A}">
  <ds:schemaRefs>
    <ds:schemaRef ds:uri="http://schemas.microsoft.com/sharepoint/v3/contenttype/forms"/>
  </ds:schemaRefs>
</ds:datastoreItem>
</file>

<file path=customXml/itemProps3.xml><?xml version="1.0" encoding="utf-8"?>
<ds:datastoreItem xmlns:ds="http://schemas.openxmlformats.org/officeDocument/2006/customXml" ds:itemID="{AB75CFB8-29B7-43C8-945A-7E4515D242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87678c-4999-4dcf-9362-4042f46b7ad0"/>
    <ds:schemaRef ds:uri="89b1cf01-4db1-4652-ac8e-cc10d0dd72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 ALL Issues</vt:lpstr>
      <vt:lpstr>R) Epic_Initiative Linked </vt:lpstr>
      <vt:lpstr>Other Project Epics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Rosenthal, Jesse</dc:creator>
  <cp:keywords/>
  <dc:description/>
  <cp:lastModifiedBy>Sutherland, Will</cp:lastModifiedBy>
  <cp:revision/>
  <dcterms:created xsi:type="dcterms:W3CDTF">2021-02-18T17:04:59Z</dcterms:created>
  <dcterms:modified xsi:type="dcterms:W3CDTF">2023-05-11T17:10:23Z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0x01010095A7A93913EB9A4E8EBB25BF08E0DA78</vt:lpwstr>
  </property>
</Properties>
</file>